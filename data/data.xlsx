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hicham_rahimi_um6p_ma/Documents/python_projects/Statistical_tasks/data/"/>
    </mc:Choice>
  </mc:AlternateContent>
  <xr:revisionPtr revIDLastSave="23" documentId="11_6F97747F8C78DF1E5471B7F9C20EE2C8803A4857" xr6:coauthVersionLast="47" xr6:coauthVersionMax="47" xr10:uidLastSave="{9521A66B-0A81-44E9-B673-111D9F16E228}"/>
  <bookViews>
    <workbookView xWindow="-110" yWindow="-110" windowWidth="19420" windowHeight="10300" tabRatio="500" activeTab="2" xr2:uid="{00000000-000D-0000-FFFF-FFFF00000000}"/>
  </bookViews>
  <sheets>
    <sheet name="conductivity" sheetId="1" r:id="rId1"/>
    <sheet name="cat_univar" sheetId="2" r:id="rId2"/>
    <sheet name="Corr_Assoc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2" i="3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<sst xmlns="http://schemas.openxmlformats.org/spreadsheetml/2006/main" count="220" uniqueCount="41">
  <si>
    <t>Date</t>
  </si>
  <si>
    <t>LC2A</t>
  </si>
  <si>
    <t>MP2</t>
  </si>
  <si>
    <t>MP1</t>
  </si>
  <si>
    <t>MC</t>
  </si>
  <si>
    <t>22/10/2025 18:00</t>
  </si>
  <si>
    <t>22/10/2025 20:00</t>
  </si>
  <si>
    <t>22/10/2025 22:30</t>
  </si>
  <si>
    <t>23/10/2025 01:00</t>
  </si>
  <si>
    <t>23/10/2025 04:00</t>
  </si>
  <si>
    <t>23/10/2025 07:00</t>
  </si>
  <si>
    <t>23/10/2025 11:00</t>
  </si>
  <si>
    <t>23/10/2025 13:00</t>
  </si>
  <si>
    <t>23/10/2025 15:00</t>
  </si>
  <si>
    <t>23/10/2025 17:00</t>
  </si>
  <si>
    <t>23/10/2025 20:00</t>
  </si>
  <si>
    <t>23/10/2025 22:30</t>
  </si>
  <si>
    <t>24/10/2025 01:00</t>
  </si>
  <si>
    <t>24/10/2025 04:00</t>
  </si>
  <si>
    <t>24/10/2025 07:00</t>
  </si>
  <si>
    <t>24/10/2025 11:00</t>
  </si>
  <si>
    <t>24/10/2025 13:00</t>
  </si>
  <si>
    <t>24/10/2025 15:00</t>
  </si>
  <si>
    <t>24/10/2025 17:00</t>
  </si>
  <si>
    <t>24/10/2025 20:00</t>
  </si>
  <si>
    <t>24/10/2025 22:30</t>
  </si>
  <si>
    <t>25/10/2025 01:00</t>
  </si>
  <si>
    <t>25/10/2025 04:00</t>
  </si>
  <si>
    <t>Opinion</t>
  </si>
  <si>
    <t>high</t>
  </si>
  <si>
    <t>Yes</t>
  </si>
  <si>
    <t>medium</t>
  </si>
  <si>
    <t>No</t>
  </si>
  <si>
    <t>low</t>
  </si>
  <si>
    <t>BMI</t>
  </si>
  <si>
    <t>%Fat</t>
  </si>
  <si>
    <t>Activity</t>
  </si>
  <si>
    <t>Menarche</t>
  </si>
  <si>
    <t>Corr1</t>
  </si>
  <si>
    <t>Corr2</t>
  </si>
  <si>
    <t>Corr3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</si>
</sst>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  <xf numFmtId="0" fontId="1" fillId="0" borderId="0" xfId="0" applyFont="1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opLeftCell="A7" zoomScaleNormal="100" workbookViewId="0">
      <selection activeCellId="1" sqref="A2:A140 A1"/>
    </sheetView>
  </sheetViews>
  <sheetFormatPr baseColWidth="10" defaultColWidth="8.7265625" defaultRowHeight="14.5" x14ac:dyDescent="0.35"/>
  <cols>
    <col min="1" max="1" width="16.36328125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5" x14ac:dyDescent="0.35">
      <c r="A2" s="2" t="s">
        <v>5</v>
      </c>
      <c r="B2" s="3">
        <v>721</v>
      </c>
      <c r="C2" s="4">
        <v>870.75</v>
      </c>
      <c r="D2" s="4">
        <v>845.12</v>
      </c>
      <c r="E2" s="4">
        <v>850.2</v>
      </c>
    </row>
    <row r="3" spans="1:5" ht="15.5" x14ac:dyDescent="0.35">
      <c r="A3" s="2" t="s">
        <v>6</v>
      </c>
      <c r="B3" s="3">
        <v>650</v>
      </c>
      <c r="C3" s="4">
        <v>760.2</v>
      </c>
      <c r="D3" s="4">
        <v>848.1</v>
      </c>
      <c r="E3" s="4">
        <v>889.8</v>
      </c>
    </row>
    <row r="4" spans="1:5" ht="15.5" x14ac:dyDescent="0.35">
      <c r="A4" s="2" t="s">
        <v>7</v>
      </c>
      <c r="B4" s="3">
        <v>644</v>
      </c>
      <c r="C4" s="4">
        <v>638.4</v>
      </c>
      <c r="D4" s="4">
        <v>749</v>
      </c>
      <c r="E4" s="4">
        <v>682.3</v>
      </c>
    </row>
    <row r="5" spans="1:5" ht="15.5" x14ac:dyDescent="0.35">
      <c r="A5" s="2" t="s">
        <v>8</v>
      </c>
      <c r="B5" s="3">
        <v>636</v>
      </c>
      <c r="C5" s="4">
        <v>552.70000000000005</v>
      </c>
      <c r="D5" s="4">
        <v>741</v>
      </c>
      <c r="E5" s="4">
        <v>658.2</v>
      </c>
    </row>
    <row r="6" spans="1:5" ht="15.5" x14ac:dyDescent="0.35">
      <c r="A6" s="2" t="s">
        <v>9</v>
      </c>
      <c r="B6" s="3">
        <v>649</v>
      </c>
      <c r="C6" s="4">
        <v>607.41999999999996</v>
      </c>
      <c r="D6" s="4">
        <v>755.4</v>
      </c>
      <c r="E6" s="4">
        <v>670.2</v>
      </c>
    </row>
    <row r="7" spans="1:5" ht="15.5" x14ac:dyDescent="0.35">
      <c r="A7" s="2" t="s">
        <v>10</v>
      </c>
      <c r="B7" s="3">
        <v>636</v>
      </c>
      <c r="C7" s="4">
        <v>570</v>
      </c>
      <c r="D7" s="4">
        <v>626</v>
      </c>
      <c r="E7" s="4">
        <v>580</v>
      </c>
    </row>
    <row r="8" spans="1:5" ht="15.5" x14ac:dyDescent="0.35">
      <c r="A8" s="2" t="s">
        <v>11</v>
      </c>
      <c r="B8" s="3"/>
      <c r="C8" s="4">
        <v>535</v>
      </c>
      <c r="D8" s="4">
        <v>632</v>
      </c>
      <c r="E8" s="4">
        <v>566</v>
      </c>
    </row>
    <row r="9" spans="1:5" ht="15.5" x14ac:dyDescent="0.35">
      <c r="A9" s="2" t="s">
        <v>12</v>
      </c>
      <c r="B9" s="3"/>
      <c r="C9" s="4">
        <v>600</v>
      </c>
      <c r="D9" s="4">
        <v>632</v>
      </c>
      <c r="E9" s="4">
        <v>566</v>
      </c>
    </row>
    <row r="10" spans="1:5" ht="15.5" x14ac:dyDescent="0.35">
      <c r="A10" s="2" t="s">
        <v>13</v>
      </c>
      <c r="B10" s="3">
        <v>670</v>
      </c>
      <c r="C10" s="4">
        <v>647</v>
      </c>
      <c r="D10" s="4">
        <v>755</v>
      </c>
      <c r="E10" s="4">
        <v>615.65</v>
      </c>
    </row>
    <row r="11" spans="1:5" ht="15.5" x14ac:dyDescent="0.35">
      <c r="A11" s="2" t="s">
        <v>14</v>
      </c>
      <c r="B11" s="3">
        <v>774</v>
      </c>
      <c r="C11" s="4">
        <v>803</v>
      </c>
      <c r="D11" s="4">
        <v>742</v>
      </c>
      <c r="E11" s="4">
        <v>676.5</v>
      </c>
    </row>
    <row r="12" spans="1:5" ht="15.5" x14ac:dyDescent="0.35">
      <c r="A12" s="2" t="s">
        <v>15</v>
      </c>
      <c r="B12" s="3">
        <v>770</v>
      </c>
      <c r="C12" s="4">
        <v>656</v>
      </c>
      <c r="D12" s="4">
        <v>742</v>
      </c>
      <c r="E12" s="4">
        <v>798</v>
      </c>
    </row>
    <row r="13" spans="1:5" ht="15.5" x14ac:dyDescent="0.35">
      <c r="A13" s="2" t="s">
        <v>16</v>
      </c>
      <c r="B13" s="3">
        <v>746</v>
      </c>
      <c r="C13" s="4">
        <v>680</v>
      </c>
      <c r="D13" s="4">
        <v>748.7</v>
      </c>
      <c r="E13" s="4">
        <v>774.75</v>
      </c>
    </row>
    <row r="14" spans="1:5" ht="15.5" x14ac:dyDescent="0.35">
      <c r="A14" s="2" t="s">
        <v>17</v>
      </c>
      <c r="B14" s="3">
        <v>734</v>
      </c>
      <c r="C14" s="4">
        <v>711.45</v>
      </c>
      <c r="D14" s="4">
        <v>761.15</v>
      </c>
      <c r="E14" s="4">
        <v>790.25</v>
      </c>
    </row>
    <row r="15" spans="1:5" ht="15.5" x14ac:dyDescent="0.35">
      <c r="A15" s="2" t="s">
        <v>18</v>
      </c>
      <c r="B15" s="3">
        <v>716</v>
      </c>
      <c r="C15" s="4">
        <v>789.2</v>
      </c>
      <c r="D15" s="4">
        <v>782.4</v>
      </c>
      <c r="E15" s="4">
        <v>780</v>
      </c>
    </row>
    <row r="16" spans="1:5" ht="15.5" x14ac:dyDescent="0.35">
      <c r="A16" s="2" t="s">
        <v>19</v>
      </c>
      <c r="B16" s="3"/>
      <c r="C16" s="4">
        <v>808.5</v>
      </c>
      <c r="D16" s="4">
        <v>752</v>
      </c>
      <c r="E16" s="4">
        <v>768</v>
      </c>
    </row>
    <row r="17" spans="1:5" ht="15.5" x14ac:dyDescent="0.35">
      <c r="A17" s="2" t="s">
        <v>20</v>
      </c>
      <c r="B17" s="3">
        <v>725</v>
      </c>
      <c r="C17" s="4">
        <v>750.8</v>
      </c>
      <c r="D17" s="4">
        <v>753.6</v>
      </c>
      <c r="E17" s="4">
        <v>747</v>
      </c>
    </row>
    <row r="18" spans="1:5" ht="15.5" x14ac:dyDescent="0.35">
      <c r="A18" s="2" t="s">
        <v>21</v>
      </c>
      <c r="B18" s="3"/>
      <c r="C18" s="4">
        <v>730</v>
      </c>
      <c r="D18" s="4">
        <v>785</v>
      </c>
      <c r="E18" s="4">
        <v>745</v>
      </c>
    </row>
    <row r="19" spans="1:5" ht="15.5" x14ac:dyDescent="0.35">
      <c r="A19" s="2" t="s">
        <v>22</v>
      </c>
      <c r="B19" s="3">
        <v>805</v>
      </c>
      <c r="C19" s="4">
        <v>699.8</v>
      </c>
      <c r="D19" s="4">
        <v>738.78</v>
      </c>
      <c r="E19" s="4">
        <v>700.2</v>
      </c>
    </row>
    <row r="20" spans="1:5" ht="15.5" x14ac:dyDescent="0.35">
      <c r="A20" s="2" t="s">
        <v>23</v>
      </c>
      <c r="B20" s="3">
        <v>811</v>
      </c>
      <c r="C20" s="4">
        <v>714.78</v>
      </c>
      <c r="D20" s="4">
        <v>662.22</v>
      </c>
      <c r="E20" s="4">
        <v>697.14</v>
      </c>
    </row>
    <row r="21" spans="1:5" ht="15.5" x14ac:dyDescent="0.35">
      <c r="A21" s="2" t="s">
        <v>24</v>
      </c>
      <c r="B21" s="3">
        <v>796</v>
      </c>
      <c r="C21" s="4">
        <v>725.12</v>
      </c>
      <c r="D21" s="4">
        <v>683.73</v>
      </c>
      <c r="E21" s="4">
        <v>727.42</v>
      </c>
    </row>
    <row r="22" spans="1:5" ht="15.5" x14ac:dyDescent="0.35">
      <c r="A22" s="2" t="s">
        <v>25</v>
      </c>
      <c r="B22" s="3">
        <v>780</v>
      </c>
      <c r="C22" s="4">
        <v>679.9</v>
      </c>
      <c r="D22" s="4">
        <v>731.26</v>
      </c>
      <c r="E22" s="4">
        <v>704.27</v>
      </c>
    </row>
    <row r="23" spans="1:5" ht="15.5" x14ac:dyDescent="0.35">
      <c r="A23" s="2" t="s">
        <v>26</v>
      </c>
      <c r="B23" s="3">
        <v>685</v>
      </c>
      <c r="C23" s="4">
        <v>626.54999999999995</v>
      </c>
      <c r="D23" s="4">
        <v>665</v>
      </c>
      <c r="E23" s="4">
        <v>686.3</v>
      </c>
    </row>
    <row r="24" spans="1:5" ht="15.5" x14ac:dyDescent="0.35">
      <c r="A24" s="2" t="s">
        <v>27</v>
      </c>
      <c r="B24" s="3">
        <v>674</v>
      </c>
      <c r="C24" s="4">
        <v>630.15</v>
      </c>
      <c r="D24" s="4">
        <v>683.25</v>
      </c>
      <c r="E24" s="4">
        <v>700.55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0"/>
  <sheetViews>
    <sheetView topLeftCell="A15" zoomScaleNormal="100" workbookViewId="0">
      <selection activeCell="A2" sqref="A2:A140"/>
    </sheetView>
  </sheetViews>
  <sheetFormatPr baseColWidth="10" defaultColWidth="10.1796875" defaultRowHeight="14.5" x14ac:dyDescent="0.35"/>
  <sheetData>
    <row r="1" spans="1:1" x14ac:dyDescent="0.35">
      <c r="A1" t="s">
        <v>28</v>
      </c>
    </row>
    <row r="2" spans="1:1" x14ac:dyDescent="0.35">
      <c r="A2" t="str">
        <f t="shared" ref="A2:A33" ca="1" si="0">IF(RAND()&gt;=0.5,"yes","no")</f>
        <v>yes</v>
      </c>
    </row>
    <row r="3" spans="1:1" x14ac:dyDescent="0.35">
      <c r="A3" t="str">
        <f t="shared" ca="1" si="0"/>
        <v>no</v>
      </c>
    </row>
    <row r="4" spans="1:1" x14ac:dyDescent="0.35">
      <c r="A4" t="str">
        <f t="shared" ca="1" si="0"/>
        <v>yes</v>
      </c>
    </row>
    <row r="5" spans="1:1" x14ac:dyDescent="0.35">
      <c r="A5" t="str">
        <f t="shared" ca="1" si="0"/>
        <v>no</v>
      </c>
    </row>
    <row r="6" spans="1:1" x14ac:dyDescent="0.35">
      <c r="A6" t="str">
        <f t="shared" ca="1" si="0"/>
        <v>yes</v>
      </c>
    </row>
    <row r="7" spans="1:1" x14ac:dyDescent="0.35">
      <c r="A7" t="str">
        <f t="shared" ca="1" si="0"/>
        <v>yes</v>
      </c>
    </row>
    <row r="8" spans="1:1" x14ac:dyDescent="0.35">
      <c r="A8" t="str">
        <f t="shared" ca="1" si="0"/>
        <v>yes</v>
      </c>
    </row>
    <row r="9" spans="1:1" x14ac:dyDescent="0.35">
      <c r="A9" t="str">
        <f t="shared" ca="1" si="0"/>
        <v>no</v>
      </c>
    </row>
    <row r="10" spans="1:1" x14ac:dyDescent="0.35">
      <c r="A10" t="str">
        <f t="shared" ca="1" si="0"/>
        <v>no</v>
      </c>
    </row>
    <row r="11" spans="1:1" x14ac:dyDescent="0.35">
      <c r="A11" t="str">
        <f t="shared" ca="1" si="0"/>
        <v>no</v>
      </c>
    </row>
    <row r="12" spans="1:1" x14ac:dyDescent="0.35">
      <c r="A12" t="str">
        <f t="shared" ca="1" si="0"/>
        <v>no</v>
      </c>
    </row>
    <row r="13" spans="1:1" x14ac:dyDescent="0.35">
      <c r="A13" t="str">
        <f t="shared" ca="1" si="0"/>
        <v>yes</v>
      </c>
    </row>
    <row r="14" spans="1:1" x14ac:dyDescent="0.35">
      <c r="A14" t="str">
        <f t="shared" ca="1" si="0"/>
        <v>yes</v>
      </c>
    </row>
    <row r="15" spans="1:1" x14ac:dyDescent="0.35">
      <c r="A15" t="str">
        <f t="shared" ca="1" si="0"/>
        <v>yes</v>
      </c>
    </row>
    <row r="16" spans="1:1" x14ac:dyDescent="0.35">
      <c r="A16" t="str">
        <f t="shared" ca="1" si="0"/>
        <v>yes</v>
      </c>
    </row>
    <row r="17" spans="1:1" x14ac:dyDescent="0.35">
      <c r="A17" t="str">
        <f t="shared" ca="1" si="0"/>
        <v>no</v>
      </c>
    </row>
    <row r="18" spans="1:1" x14ac:dyDescent="0.35">
      <c r="A18" t="str">
        <f t="shared" ca="1" si="0"/>
        <v>yes</v>
      </c>
    </row>
    <row r="19" spans="1:1" x14ac:dyDescent="0.35">
      <c r="A19" t="str">
        <f t="shared" ca="1" si="0"/>
        <v>yes</v>
      </c>
    </row>
    <row r="20" spans="1:1" x14ac:dyDescent="0.35">
      <c r="A20" t="str">
        <f t="shared" ca="1" si="0"/>
        <v>no</v>
      </c>
    </row>
    <row r="21" spans="1:1" x14ac:dyDescent="0.35">
      <c r="A21" t="str">
        <f t="shared" ca="1" si="0"/>
        <v>no</v>
      </c>
    </row>
    <row r="22" spans="1:1" x14ac:dyDescent="0.35">
      <c r="A22" t="str">
        <f t="shared" ca="1" si="0"/>
        <v>yes</v>
      </c>
    </row>
    <row r="23" spans="1:1" x14ac:dyDescent="0.35">
      <c r="A23" t="str">
        <f t="shared" ca="1" si="0"/>
        <v>yes</v>
      </c>
    </row>
    <row r="24" spans="1:1" x14ac:dyDescent="0.35">
      <c r="A24" t="str">
        <f t="shared" ca="1" si="0"/>
        <v>yes</v>
      </c>
    </row>
    <row r="25" spans="1:1" x14ac:dyDescent="0.35">
      <c r="A25" t="str">
        <f t="shared" ca="1" si="0"/>
        <v>yes</v>
      </c>
    </row>
    <row r="26" spans="1:1" x14ac:dyDescent="0.35">
      <c r="A26" t="str">
        <f t="shared" ca="1" si="0"/>
        <v>yes</v>
      </c>
    </row>
    <row r="27" spans="1:1" x14ac:dyDescent="0.35">
      <c r="A27" t="str">
        <f t="shared" ca="1" si="0"/>
        <v>yes</v>
      </c>
    </row>
    <row r="28" spans="1:1" x14ac:dyDescent="0.35">
      <c r="A28" t="str">
        <f t="shared" ca="1" si="0"/>
        <v>no</v>
      </c>
    </row>
    <row r="29" spans="1:1" x14ac:dyDescent="0.35">
      <c r="A29" t="str">
        <f t="shared" ca="1" si="0"/>
        <v>yes</v>
      </c>
    </row>
    <row r="30" spans="1:1" x14ac:dyDescent="0.35">
      <c r="A30" t="str">
        <f t="shared" ca="1" si="0"/>
        <v>yes</v>
      </c>
    </row>
    <row r="31" spans="1:1" x14ac:dyDescent="0.35">
      <c r="A31" t="str">
        <f t="shared" ca="1" si="0"/>
        <v>yes</v>
      </c>
    </row>
    <row r="32" spans="1:1" x14ac:dyDescent="0.35">
      <c r="A32" t="str">
        <f t="shared" ca="1" si="0"/>
        <v>yes</v>
      </c>
    </row>
    <row r="33" spans="1:1" x14ac:dyDescent="0.35">
      <c r="A33" t="str">
        <f t="shared" ca="1" si="0"/>
        <v>no</v>
      </c>
    </row>
    <row r="34" spans="1:1" x14ac:dyDescent="0.35">
      <c r="A34" t="str">
        <f t="shared" ref="A34:A65" ca="1" si="1">IF(RAND()&gt;=0.5,"yes","no")</f>
        <v>no</v>
      </c>
    </row>
    <row r="35" spans="1:1" x14ac:dyDescent="0.35">
      <c r="A35" t="str">
        <f t="shared" ca="1" si="1"/>
        <v>no</v>
      </c>
    </row>
    <row r="36" spans="1:1" x14ac:dyDescent="0.35">
      <c r="A36" t="str">
        <f t="shared" ca="1" si="1"/>
        <v>no</v>
      </c>
    </row>
    <row r="37" spans="1:1" x14ac:dyDescent="0.35">
      <c r="A37" t="str">
        <f t="shared" ca="1" si="1"/>
        <v>yes</v>
      </c>
    </row>
    <row r="38" spans="1:1" x14ac:dyDescent="0.35">
      <c r="A38" t="str">
        <f t="shared" ca="1" si="1"/>
        <v>yes</v>
      </c>
    </row>
    <row r="39" spans="1:1" x14ac:dyDescent="0.35">
      <c r="A39" t="str">
        <f t="shared" ca="1" si="1"/>
        <v>yes</v>
      </c>
    </row>
    <row r="40" spans="1:1" x14ac:dyDescent="0.35">
      <c r="A40" t="str">
        <f t="shared" ca="1" si="1"/>
        <v>no</v>
      </c>
    </row>
    <row r="41" spans="1:1" x14ac:dyDescent="0.35">
      <c r="A41" t="str">
        <f t="shared" ca="1" si="1"/>
        <v>yes</v>
      </c>
    </row>
    <row r="42" spans="1:1" x14ac:dyDescent="0.35">
      <c r="A42" t="str">
        <f t="shared" ca="1" si="1"/>
        <v>no</v>
      </c>
    </row>
    <row r="43" spans="1:1" x14ac:dyDescent="0.35">
      <c r="A43" t="str">
        <f t="shared" ca="1" si="1"/>
        <v>yes</v>
      </c>
    </row>
    <row r="44" spans="1:1" x14ac:dyDescent="0.35">
      <c r="A44" t="str">
        <f t="shared" ca="1" si="1"/>
        <v>yes</v>
      </c>
    </row>
    <row r="45" spans="1:1" x14ac:dyDescent="0.35">
      <c r="A45" t="str">
        <f t="shared" ca="1" si="1"/>
        <v>yes</v>
      </c>
    </row>
    <row r="46" spans="1:1" x14ac:dyDescent="0.35">
      <c r="A46" t="str">
        <f t="shared" ca="1" si="1"/>
        <v>yes</v>
      </c>
    </row>
    <row r="47" spans="1:1" x14ac:dyDescent="0.35">
      <c r="A47" t="str">
        <f t="shared" ca="1" si="1"/>
        <v>yes</v>
      </c>
    </row>
    <row r="48" spans="1:1" x14ac:dyDescent="0.35">
      <c r="A48" t="str">
        <f t="shared" ca="1" si="1"/>
        <v>yes</v>
      </c>
    </row>
    <row r="49" spans="1:1" x14ac:dyDescent="0.35">
      <c r="A49" t="str">
        <f t="shared" ca="1" si="1"/>
        <v>no</v>
      </c>
    </row>
    <row r="50" spans="1:1" x14ac:dyDescent="0.35">
      <c r="A50" t="str">
        <f t="shared" ca="1" si="1"/>
        <v>yes</v>
      </c>
    </row>
    <row r="51" spans="1:1" x14ac:dyDescent="0.35">
      <c r="A51" t="str">
        <f t="shared" ca="1" si="1"/>
        <v>yes</v>
      </c>
    </row>
    <row r="52" spans="1:1" x14ac:dyDescent="0.35">
      <c r="A52" t="str">
        <f t="shared" ca="1" si="1"/>
        <v>no</v>
      </c>
    </row>
    <row r="53" spans="1:1" x14ac:dyDescent="0.35">
      <c r="A53" t="str">
        <f t="shared" ca="1" si="1"/>
        <v>yes</v>
      </c>
    </row>
    <row r="54" spans="1:1" x14ac:dyDescent="0.35">
      <c r="A54" t="str">
        <f t="shared" ca="1" si="1"/>
        <v>yes</v>
      </c>
    </row>
    <row r="55" spans="1:1" x14ac:dyDescent="0.35">
      <c r="A55" t="str">
        <f t="shared" ca="1" si="1"/>
        <v>yes</v>
      </c>
    </row>
    <row r="56" spans="1:1" x14ac:dyDescent="0.35">
      <c r="A56" t="str">
        <f t="shared" ca="1" si="1"/>
        <v>no</v>
      </c>
    </row>
    <row r="57" spans="1:1" x14ac:dyDescent="0.35">
      <c r="A57" t="str">
        <f t="shared" ca="1" si="1"/>
        <v>no</v>
      </c>
    </row>
    <row r="58" spans="1:1" x14ac:dyDescent="0.35">
      <c r="A58" t="str">
        <f t="shared" ca="1" si="1"/>
        <v>yes</v>
      </c>
    </row>
    <row r="59" spans="1:1" x14ac:dyDescent="0.35">
      <c r="A59" t="str">
        <f t="shared" ca="1" si="1"/>
        <v>no</v>
      </c>
    </row>
    <row r="60" spans="1:1" x14ac:dyDescent="0.35">
      <c r="A60" t="str">
        <f t="shared" ca="1" si="1"/>
        <v>no</v>
      </c>
    </row>
    <row r="61" spans="1:1" x14ac:dyDescent="0.35">
      <c r="A61" t="str">
        <f t="shared" ca="1" si="1"/>
        <v>yes</v>
      </c>
    </row>
    <row r="62" spans="1:1" x14ac:dyDescent="0.35">
      <c r="A62" t="str">
        <f t="shared" ca="1" si="1"/>
        <v>yes</v>
      </c>
    </row>
    <row r="63" spans="1:1" x14ac:dyDescent="0.35">
      <c r="A63" t="str">
        <f t="shared" ca="1" si="1"/>
        <v>yes</v>
      </c>
    </row>
    <row r="64" spans="1:1" x14ac:dyDescent="0.35">
      <c r="A64" t="str">
        <f t="shared" ca="1" si="1"/>
        <v>yes</v>
      </c>
    </row>
    <row r="65" spans="1:1" x14ac:dyDescent="0.35">
      <c r="A65" t="str">
        <f t="shared" ca="1" si="1"/>
        <v>yes</v>
      </c>
    </row>
    <row r="66" spans="1:1" x14ac:dyDescent="0.35">
      <c r="A66" t="str">
        <f t="shared" ref="A66:A97" ca="1" si="2">IF(RAND()&gt;=0.5,"yes","no")</f>
        <v>yes</v>
      </c>
    </row>
    <row r="67" spans="1:1" x14ac:dyDescent="0.35">
      <c r="A67" t="str">
        <f t="shared" ca="1" si="2"/>
        <v>no</v>
      </c>
    </row>
    <row r="68" spans="1:1" x14ac:dyDescent="0.35">
      <c r="A68" t="str">
        <f t="shared" ca="1" si="2"/>
        <v>yes</v>
      </c>
    </row>
    <row r="69" spans="1:1" x14ac:dyDescent="0.35">
      <c r="A69" t="str">
        <f t="shared" ca="1" si="2"/>
        <v>yes</v>
      </c>
    </row>
    <row r="70" spans="1:1" x14ac:dyDescent="0.35">
      <c r="A70" t="str">
        <f t="shared" ca="1" si="2"/>
        <v>no</v>
      </c>
    </row>
    <row r="71" spans="1:1" x14ac:dyDescent="0.35">
      <c r="A71" t="str">
        <f t="shared" ca="1" si="2"/>
        <v>no</v>
      </c>
    </row>
    <row r="72" spans="1:1" x14ac:dyDescent="0.35">
      <c r="A72" t="str">
        <f t="shared" ca="1" si="2"/>
        <v>no</v>
      </c>
    </row>
    <row r="73" spans="1:1" x14ac:dyDescent="0.35">
      <c r="A73" t="str">
        <f t="shared" ca="1" si="2"/>
        <v>no</v>
      </c>
    </row>
    <row r="74" spans="1:1" x14ac:dyDescent="0.35">
      <c r="A74" t="str">
        <f t="shared" ca="1" si="2"/>
        <v>no</v>
      </c>
    </row>
    <row r="75" spans="1:1" x14ac:dyDescent="0.35">
      <c r="A75" t="str">
        <f t="shared" ca="1" si="2"/>
        <v>no</v>
      </c>
    </row>
    <row r="76" spans="1:1" x14ac:dyDescent="0.35">
      <c r="A76" t="str">
        <f t="shared" ca="1" si="2"/>
        <v>no</v>
      </c>
    </row>
    <row r="77" spans="1:1" x14ac:dyDescent="0.35">
      <c r="A77" t="str">
        <f t="shared" ca="1" si="2"/>
        <v>yes</v>
      </c>
    </row>
    <row r="78" spans="1:1" x14ac:dyDescent="0.35">
      <c r="A78" t="str">
        <f t="shared" ca="1" si="2"/>
        <v>no</v>
      </c>
    </row>
    <row r="79" spans="1:1" x14ac:dyDescent="0.35">
      <c r="A79" t="str">
        <f t="shared" ca="1" si="2"/>
        <v>yes</v>
      </c>
    </row>
    <row r="80" spans="1:1" x14ac:dyDescent="0.35">
      <c r="A80" t="str">
        <f t="shared" ca="1" si="2"/>
        <v>yes</v>
      </c>
    </row>
    <row r="81" spans="1:1" x14ac:dyDescent="0.35">
      <c r="A81" t="str">
        <f t="shared" ca="1" si="2"/>
        <v>yes</v>
      </c>
    </row>
    <row r="82" spans="1:1" x14ac:dyDescent="0.35">
      <c r="A82" t="str">
        <f t="shared" ca="1" si="2"/>
        <v>yes</v>
      </c>
    </row>
    <row r="83" spans="1:1" x14ac:dyDescent="0.35">
      <c r="A83" t="str">
        <f t="shared" ca="1" si="2"/>
        <v>yes</v>
      </c>
    </row>
    <row r="84" spans="1:1" x14ac:dyDescent="0.35">
      <c r="A84" t="str">
        <f t="shared" ca="1" si="2"/>
        <v>yes</v>
      </c>
    </row>
    <row r="85" spans="1:1" x14ac:dyDescent="0.35">
      <c r="A85" t="str">
        <f t="shared" ca="1" si="2"/>
        <v>no</v>
      </c>
    </row>
    <row r="86" spans="1:1" x14ac:dyDescent="0.35">
      <c r="A86" t="str">
        <f t="shared" ca="1" si="2"/>
        <v>no</v>
      </c>
    </row>
    <row r="87" spans="1:1" x14ac:dyDescent="0.35">
      <c r="A87" t="str">
        <f t="shared" ca="1" si="2"/>
        <v>no</v>
      </c>
    </row>
    <row r="88" spans="1:1" x14ac:dyDescent="0.35">
      <c r="A88" t="str">
        <f t="shared" ca="1" si="2"/>
        <v>no</v>
      </c>
    </row>
    <row r="89" spans="1:1" x14ac:dyDescent="0.35">
      <c r="A89" t="str">
        <f t="shared" ca="1" si="2"/>
        <v>yes</v>
      </c>
    </row>
    <row r="90" spans="1:1" x14ac:dyDescent="0.35">
      <c r="A90" t="str">
        <f t="shared" ca="1" si="2"/>
        <v>no</v>
      </c>
    </row>
    <row r="91" spans="1:1" x14ac:dyDescent="0.35">
      <c r="A91" t="str">
        <f t="shared" ca="1" si="2"/>
        <v>no</v>
      </c>
    </row>
    <row r="92" spans="1:1" x14ac:dyDescent="0.35">
      <c r="A92" t="str">
        <f t="shared" ca="1" si="2"/>
        <v>no</v>
      </c>
    </row>
    <row r="93" spans="1:1" x14ac:dyDescent="0.35">
      <c r="A93" t="str">
        <f t="shared" ca="1" si="2"/>
        <v>no</v>
      </c>
    </row>
    <row r="94" spans="1:1" x14ac:dyDescent="0.35">
      <c r="A94" t="str">
        <f t="shared" ca="1" si="2"/>
        <v>no</v>
      </c>
    </row>
    <row r="95" spans="1:1" x14ac:dyDescent="0.35">
      <c r="A95" t="str">
        <f t="shared" ca="1" si="2"/>
        <v>no</v>
      </c>
    </row>
    <row r="96" spans="1:1" x14ac:dyDescent="0.35">
      <c r="A96" t="str">
        <f t="shared" ca="1" si="2"/>
        <v>no</v>
      </c>
    </row>
    <row r="97" spans="1:1" x14ac:dyDescent="0.35">
      <c r="A97" t="str">
        <f t="shared" ca="1" si="2"/>
        <v>yes</v>
      </c>
    </row>
    <row r="98" spans="1:1" x14ac:dyDescent="0.35">
      <c r="A98" t="str">
        <f t="shared" ref="A98:A129" ca="1" si="3">IF(RAND()&gt;=0.5,"yes","no")</f>
        <v>no</v>
      </c>
    </row>
    <row r="99" spans="1:1" x14ac:dyDescent="0.35">
      <c r="A99" t="str">
        <f t="shared" ca="1" si="3"/>
        <v>yes</v>
      </c>
    </row>
    <row r="100" spans="1:1" x14ac:dyDescent="0.35">
      <c r="A100" t="str">
        <f t="shared" ca="1" si="3"/>
        <v>yes</v>
      </c>
    </row>
    <row r="101" spans="1:1" x14ac:dyDescent="0.35">
      <c r="A101" t="str">
        <f t="shared" ca="1" si="3"/>
        <v>no</v>
      </c>
    </row>
    <row r="102" spans="1:1" x14ac:dyDescent="0.35">
      <c r="A102" t="str">
        <f t="shared" ca="1" si="3"/>
        <v>no</v>
      </c>
    </row>
    <row r="103" spans="1:1" x14ac:dyDescent="0.35">
      <c r="A103" t="str">
        <f t="shared" ca="1" si="3"/>
        <v>no</v>
      </c>
    </row>
    <row r="104" spans="1:1" x14ac:dyDescent="0.35">
      <c r="A104" t="str">
        <f t="shared" ca="1" si="3"/>
        <v>yes</v>
      </c>
    </row>
    <row r="105" spans="1:1" x14ac:dyDescent="0.35">
      <c r="A105" t="str">
        <f t="shared" ca="1" si="3"/>
        <v>yes</v>
      </c>
    </row>
    <row r="106" spans="1:1" x14ac:dyDescent="0.35">
      <c r="A106" t="str">
        <f t="shared" ca="1" si="3"/>
        <v>yes</v>
      </c>
    </row>
    <row r="107" spans="1:1" x14ac:dyDescent="0.35">
      <c r="A107" t="str">
        <f t="shared" ca="1" si="3"/>
        <v>yes</v>
      </c>
    </row>
    <row r="108" spans="1:1" x14ac:dyDescent="0.35">
      <c r="A108" t="str">
        <f t="shared" ca="1" si="3"/>
        <v>no</v>
      </c>
    </row>
    <row r="109" spans="1:1" x14ac:dyDescent="0.35">
      <c r="A109" t="str">
        <f t="shared" ca="1" si="3"/>
        <v>no</v>
      </c>
    </row>
    <row r="110" spans="1:1" x14ac:dyDescent="0.35">
      <c r="A110" t="str">
        <f t="shared" ca="1" si="3"/>
        <v>yes</v>
      </c>
    </row>
    <row r="111" spans="1:1" x14ac:dyDescent="0.35">
      <c r="A111" t="str">
        <f t="shared" ca="1" si="3"/>
        <v>no</v>
      </c>
    </row>
    <row r="112" spans="1:1" x14ac:dyDescent="0.35">
      <c r="A112" t="str">
        <f t="shared" ca="1" si="3"/>
        <v>no</v>
      </c>
    </row>
    <row r="113" spans="1:1" x14ac:dyDescent="0.35">
      <c r="A113" t="str">
        <f t="shared" ca="1" si="3"/>
        <v>no</v>
      </c>
    </row>
    <row r="114" spans="1:1" x14ac:dyDescent="0.35">
      <c r="A114" t="str">
        <f t="shared" ca="1" si="3"/>
        <v>no</v>
      </c>
    </row>
    <row r="115" spans="1:1" x14ac:dyDescent="0.35">
      <c r="A115" t="str">
        <f t="shared" ca="1" si="3"/>
        <v>yes</v>
      </c>
    </row>
    <row r="116" spans="1:1" x14ac:dyDescent="0.35">
      <c r="A116" t="str">
        <f t="shared" ca="1" si="3"/>
        <v>no</v>
      </c>
    </row>
    <row r="117" spans="1:1" x14ac:dyDescent="0.35">
      <c r="A117" t="str">
        <f t="shared" ca="1" si="3"/>
        <v>yes</v>
      </c>
    </row>
    <row r="118" spans="1:1" x14ac:dyDescent="0.35">
      <c r="A118" t="str">
        <f t="shared" ca="1" si="3"/>
        <v>no</v>
      </c>
    </row>
    <row r="119" spans="1:1" x14ac:dyDescent="0.35">
      <c r="A119" t="str">
        <f t="shared" ca="1" si="3"/>
        <v>yes</v>
      </c>
    </row>
    <row r="120" spans="1:1" x14ac:dyDescent="0.35">
      <c r="A120" t="str">
        <f t="shared" ca="1" si="3"/>
        <v>no</v>
      </c>
    </row>
    <row r="121" spans="1:1" x14ac:dyDescent="0.35">
      <c r="A121" t="str">
        <f t="shared" ca="1" si="3"/>
        <v>yes</v>
      </c>
    </row>
    <row r="122" spans="1:1" x14ac:dyDescent="0.35">
      <c r="A122" t="str">
        <f t="shared" ca="1" si="3"/>
        <v>yes</v>
      </c>
    </row>
    <row r="123" spans="1:1" x14ac:dyDescent="0.35">
      <c r="A123" t="str">
        <f t="shared" ca="1" si="3"/>
        <v>no</v>
      </c>
    </row>
    <row r="124" spans="1:1" x14ac:dyDescent="0.35">
      <c r="A124" t="str">
        <f t="shared" ca="1" si="3"/>
        <v>yes</v>
      </c>
    </row>
    <row r="125" spans="1:1" x14ac:dyDescent="0.35">
      <c r="A125" t="str">
        <f t="shared" ca="1" si="3"/>
        <v>yes</v>
      </c>
    </row>
    <row r="126" spans="1:1" x14ac:dyDescent="0.35">
      <c r="A126" t="str">
        <f t="shared" ca="1" si="3"/>
        <v>yes</v>
      </c>
    </row>
    <row r="127" spans="1:1" x14ac:dyDescent="0.35">
      <c r="A127" t="str">
        <f t="shared" ca="1" si="3"/>
        <v>no</v>
      </c>
    </row>
    <row r="128" spans="1:1" x14ac:dyDescent="0.35">
      <c r="A128" t="str">
        <f t="shared" ca="1" si="3"/>
        <v>yes</v>
      </c>
    </row>
    <row r="129" spans="1:1" x14ac:dyDescent="0.35">
      <c r="A129" t="str">
        <f t="shared" ca="1" si="3"/>
        <v>yes</v>
      </c>
    </row>
    <row r="130" spans="1:1" x14ac:dyDescent="0.35">
      <c r="A130" t="str">
        <f t="shared" ref="A130:A140" ca="1" si="4">IF(RAND()&gt;=0.5,"yes","no")</f>
        <v>yes</v>
      </c>
    </row>
    <row r="131" spans="1:1" x14ac:dyDescent="0.35">
      <c r="A131" t="str">
        <f t="shared" ca="1" si="4"/>
        <v>yes</v>
      </c>
    </row>
    <row r="132" spans="1:1" x14ac:dyDescent="0.35">
      <c r="A132" t="str">
        <f t="shared" ca="1" si="4"/>
        <v>no</v>
      </c>
    </row>
    <row r="133" spans="1:1" x14ac:dyDescent="0.35">
      <c r="A133" t="str">
        <f t="shared" ca="1" si="4"/>
        <v>no</v>
      </c>
    </row>
    <row r="134" spans="1:1" x14ac:dyDescent="0.35">
      <c r="A134" t="str">
        <f t="shared" ca="1" si="4"/>
        <v>no</v>
      </c>
    </row>
    <row r="135" spans="1:1" x14ac:dyDescent="0.35">
      <c r="A135" t="str">
        <f t="shared" ca="1" si="4"/>
        <v>no</v>
      </c>
    </row>
    <row r="136" spans="1:1" x14ac:dyDescent="0.35">
      <c r="A136" t="str">
        <f t="shared" ca="1" si="4"/>
        <v>yes</v>
      </c>
    </row>
    <row r="137" spans="1:1" x14ac:dyDescent="0.35">
      <c r="A137" t="str">
        <f t="shared" ca="1" si="4"/>
        <v>yes</v>
      </c>
    </row>
    <row r="138" spans="1:1" x14ac:dyDescent="0.35">
      <c r="A138" t="str">
        <f t="shared" ca="1" si="4"/>
        <v>yes</v>
      </c>
    </row>
    <row r="139" spans="1:1" x14ac:dyDescent="0.35">
      <c r="A139" t="str">
        <f t="shared" ca="1" si="4"/>
        <v>yes</v>
      </c>
    </row>
    <row r="140" spans="1:1" x14ac:dyDescent="0.35">
      <c r="A140" t="str">
        <f t="shared" ca="1" si="4"/>
        <v>no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231C-0089-4AF1-ADD8-A78A4A2F593E}">
  <dimension ref="A1:G94"/>
  <sheetViews>
    <sheetView tabSelected="1" workbookViewId="0">
      <selection activeCell="E2" sqref="E2:G93"/>
    </sheetView>
  </sheetViews>
  <sheetFormatPr baseColWidth="10" defaultRowHeight="14.5" x14ac:dyDescent="0.35"/>
  <cols>
    <col min="5" max="5" width="12.26953125" bestFit="1" customWidth="1"/>
    <col min="6" max="7" width="11.26953125" bestFit="1" customWidth="1"/>
  </cols>
  <sheetData>
    <row r="1" spans="1:7" x14ac:dyDescent="0.35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</row>
    <row r="2" spans="1:7" x14ac:dyDescent="0.35">
      <c r="A2" s="5">
        <v>19.308299999999999</v>
      </c>
      <c r="B2" s="5">
        <v>23.9</v>
      </c>
      <c r="C2" s="5" t="s">
        <v>29</v>
      </c>
      <c r="D2" s="5" t="s">
        <v>30</v>
      </c>
      <c r="E2" s="6">
        <f ca="1">5*A2-RAND()*B2</f>
        <v>75.479699682922814</v>
      </c>
      <c r="F2" s="6">
        <f ca="1">2*A2+RAND()*B2/10</f>
        <v>40.102587698826795</v>
      </c>
      <c r="G2" s="6">
        <f ca="1">IF(D2="Yes",1*A2+RAND(),A2*RAND())</f>
        <v>19.847263896644876</v>
      </c>
    </row>
    <row r="3" spans="1:7" x14ac:dyDescent="0.35">
      <c r="A3" s="5">
        <v>22.964200000000002</v>
      </c>
      <c r="B3" s="5">
        <v>28.8</v>
      </c>
      <c r="C3" s="5" t="s">
        <v>29</v>
      </c>
      <c r="D3" s="5" t="s">
        <v>30</v>
      </c>
      <c r="E3" s="6">
        <f t="shared" ref="E3:E66" ca="1" si="0">5*A3-RAND()*B3</f>
        <v>112.92002172075895</v>
      </c>
      <c r="F3" s="6">
        <f t="shared" ref="F3:F66" ca="1" si="1">2*A3+RAND()*B3/10</f>
        <v>47.242371259628356</v>
      </c>
      <c r="G3" s="6">
        <f t="shared" ref="G3:G66" ca="1" si="2">IF(D3="Yes",1*A3+RAND(),A3*RAND())</f>
        <v>23.712323123105882</v>
      </c>
    </row>
    <row r="4" spans="1:7" x14ac:dyDescent="0.35">
      <c r="A4" s="5">
        <v>27.79</v>
      </c>
      <c r="B4" s="5">
        <v>32.4</v>
      </c>
      <c r="C4" s="5" t="s">
        <v>31</v>
      </c>
      <c r="D4" s="5" t="s">
        <v>30</v>
      </c>
      <c r="E4" s="6">
        <f t="shared" ca="1" si="0"/>
        <v>110.28761554021293</v>
      </c>
      <c r="F4" s="6">
        <f t="shared" ca="1" si="1"/>
        <v>58.181975185229433</v>
      </c>
      <c r="G4" s="6">
        <f t="shared" ca="1" si="2"/>
        <v>28.359890483476338</v>
      </c>
    </row>
    <row r="5" spans="1:7" x14ac:dyDescent="0.35">
      <c r="A5" s="5">
        <v>20.917400000000001</v>
      </c>
      <c r="B5" s="5">
        <v>25.8</v>
      </c>
      <c r="C5" s="5" t="s">
        <v>31</v>
      </c>
      <c r="D5" s="5" t="s">
        <v>30</v>
      </c>
      <c r="E5" s="6">
        <f t="shared" ca="1" si="0"/>
        <v>102.73364553985768</v>
      </c>
      <c r="F5" s="6">
        <f t="shared" ca="1" si="1"/>
        <v>42.703990455474987</v>
      </c>
      <c r="G5" s="6">
        <f t="shared" ca="1" si="2"/>
        <v>21.12757019436641</v>
      </c>
    </row>
    <row r="6" spans="1:7" x14ac:dyDescent="0.35">
      <c r="A6" s="5">
        <v>20.378399999999999</v>
      </c>
      <c r="B6" s="5">
        <v>22.5</v>
      </c>
      <c r="C6" s="5" t="s">
        <v>31</v>
      </c>
      <c r="D6" s="5" t="s">
        <v>32</v>
      </c>
      <c r="E6" s="6">
        <f t="shared" ca="1" si="0"/>
        <v>90.771471140241772</v>
      </c>
      <c r="F6" s="6">
        <f t="shared" ca="1" si="1"/>
        <v>42.156996126198607</v>
      </c>
      <c r="G6" s="6">
        <f t="shared" ca="1" si="2"/>
        <v>8.1945971158807005</v>
      </c>
    </row>
    <row r="7" spans="1:7" x14ac:dyDescent="0.35">
      <c r="A7" s="5">
        <v>20.386199999999999</v>
      </c>
      <c r="B7" s="5">
        <v>22.1</v>
      </c>
      <c r="C7" s="5" t="s">
        <v>31</v>
      </c>
      <c r="D7" s="5" t="s">
        <v>30</v>
      </c>
      <c r="E7" s="6">
        <f t="shared" ca="1" si="0"/>
        <v>99.863633078400284</v>
      </c>
      <c r="F7" s="6">
        <f t="shared" ca="1" si="1"/>
        <v>41.014206560133019</v>
      </c>
      <c r="G7" s="6">
        <f t="shared" ca="1" si="2"/>
        <v>21.38105949492217</v>
      </c>
    </row>
    <row r="8" spans="1:7" x14ac:dyDescent="0.35">
      <c r="A8" s="5">
        <v>19.657499999999999</v>
      </c>
      <c r="B8" s="5">
        <v>19.600000000000001</v>
      </c>
      <c r="C8" s="5" t="s">
        <v>31</v>
      </c>
      <c r="D8" s="5" t="s">
        <v>30</v>
      </c>
      <c r="E8" s="6">
        <f t="shared" ca="1" si="0"/>
        <v>96.447768692627832</v>
      </c>
      <c r="F8" s="6">
        <f t="shared" ca="1" si="1"/>
        <v>39.88359587317769</v>
      </c>
      <c r="G8" s="6">
        <f t="shared" ca="1" si="2"/>
        <v>20.38179688704836</v>
      </c>
    </row>
    <row r="9" spans="1:7" x14ac:dyDescent="0.35">
      <c r="A9" s="5">
        <v>20.298300000000001</v>
      </c>
      <c r="B9" s="5">
        <v>25.3</v>
      </c>
      <c r="C9" s="5" t="s">
        <v>29</v>
      </c>
      <c r="D9" s="5" t="s">
        <v>30</v>
      </c>
      <c r="E9" s="6">
        <f t="shared" ca="1" si="0"/>
        <v>88.176428940963518</v>
      </c>
      <c r="F9" s="6">
        <f t="shared" ca="1" si="1"/>
        <v>42.07562748723776</v>
      </c>
      <c r="G9" s="6">
        <f t="shared" ca="1" si="2"/>
        <v>20.963408028960487</v>
      </c>
    </row>
    <row r="10" spans="1:7" x14ac:dyDescent="0.35">
      <c r="A10" s="5">
        <v>20.6038</v>
      </c>
      <c r="B10" s="5">
        <v>22.8</v>
      </c>
      <c r="C10" s="5" t="s">
        <v>31</v>
      </c>
      <c r="D10" s="5" t="s">
        <v>30</v>
      </c>
      <c r="E10" s="6">
        <f t="shared" ca="1" si="0"/>
        <v>90.245369051261605</v>
      </c>
      <c r="F10" s="6">
        <f t="shared" ca="1" si="1"/>
        <v>41.380278982889003</v>
      </c>
      <c r="G10" s="6">
        <f t="shared" ca="1" si="2"/>
        <v>21.181175702559365</v>
      </c>
    </row>
    <row r="11" spans="1:7" x14ac:dyDescent="0.35">
      <c r="A11" s="5">
        <v>20.3064</v>
      </c>
      <c r="B11" s="5">
        <v>26.4</v>
      </c>
      <c r="C11" s="5" t="s">
        <v>31</v>
      </c>
      <c r="D11" s="5" t="s">
        <v>30</v>
      </c>
      <c r="E11" s="6">
        <f t="shared" ca="1" si="0"/>
        <v>86.514148826504666</v>
      </c>
      <c r="F11" s="6">
        <f t="shared" ca="1" si="1"/>
        <v>42.770170072181145</v>
      </c>
      <c r="G11" s="6">
        <f t="shared" ca="1" si="2"/>
        <v>20.491708720220711</v>
      </c>
    </row>
    <row r="12" spans="1:7" x14ac:dyDescent="0.35">
      <c r="A12" s="5">
        <v>21.2133</v>
      </c>
      <c r="B12" s="5">
        <v>33.700000000000003</v>
      </c>
      <c r="C12" s="5" t="s">
        <v>31</v>
      </c>
      <c r="D12" s="5" t="s">
        <v>32</v>
      </c>
      <c r="E12" s="6">
        <f t="shared" ca="1" si="0"/>
        <v>91.700929868150723</v>
      </c>
      <c r="F12" s="6">
        <f t="shared" ca="1" si="1"/>
        <v>44.507636025168487</v>
      </c>
      <c r="G12" s="6">
        <f t="shared" ca="1" si="2"/>
        <v>3.6892561507702051</v>
      </c>
    </row>
    <row r="13" spans="1:7" x14ac:dyDescent="0.35">
      <c r="A13" s="5">
        <v>22.1067</v>
      </c>
      <c r="B13" s="5">
        <v>27.9</v>
      </c>
      <c r="C13" s="5" t="s">
        <v>29</v>
      </c>
      <c r="D13" s="5" t="s">
        <v>30</v>
      </c>
      <c r="E13" s="6">
        <f t="shared" ca="1" si="0"/>
        <v>99.056438766642131</v>
      </c>
      <c r="F13" s="6">
        <f t="shared" ca="1" si="1"/>
        <v>44.615681674495605</v>
      </c>
      <c r="G13" s="6">
        <f t="shared" ca="1" si="2"/>
        <v>22.36781840312953</v>
      </c>
    </row>
    <row r="14" spans="1:7" x14ac:dyDescent="0.35">
      <c r="A14" s="5">
        <v>28.604800000000001</v>
      </c>
      <c r="B14" s="5">
        <v>33.5</v>
      </c>
      <c r="C14" s="5" t="s">
        <v>31</v>
      </c>
      <c r="D14" s="5" t="s">
        <v>30</v>
      </c>
      <c r="E14" s="6">
        <f t="shared" ca="1" si="0"/>
        <v>123.01869634333443</v>
      </c>
      <c r="F14" s="6">
        <f t="shared" ca="1" si="1"/>
        <v>59.198290186437532</v>
      </c>
      <c r="G14" s="6">
        <f t="shared" ca="1" si="2"/>
        <v>28.919379293405363</v>
      </c>
    </row>
    <row r="15" spans="1:7" x14ac:dyDescent="0.35">
      <c r="A15" s="5">
        <v>19.496400000000001</v>
      </c>
      <c r="B15" s="5">
        <v>23.4</v>
      </c>
      <c r="C15" s="5" t="s">
        <v>29</v>
      </c>
      <c r="D15" s="5" t="s">
        <v>30</v>
      </c>
      <c r="E15" s="6">
        <f t="shared" ca="1" si="0"/>
        <v>77.97182509322738</v>
      </c>
      <c r="F15" s="6">
        <f t="shared" ca="1" si="1"/>
        <v>39.392991810981258</v>
      </c>
      <c r="G15" s="6">
        <f t="shared" ca="1" si="2"/>
        <v>20.357498450120396</v>
      </c>
    </row>
    <row r="16" spans="1:7" x14ac:dyDescent="0.35">
      <c r="A16" s="5">
        <v>20.414300000000001</v>
      </c>
      <c r="B16" s="5">
        <v>21.8</v>
      </c>
      <c r="C16" s="5" t="s">
        <v>31</v>
      </c>
      <c r="D16" s="5" t="s">
        <v>30</v>
      </c>
      <c r="E16" s="6">
        <f t="shared" ca="1" si="0"/>
        <v>99.804157105425958</v>
      </c>
      <c r="F16" s="6">
        <f t="shared" ca="1" si="1"/>
        <v>42.11040806864586</v>
      </c>
      <c r="G16" s="6">
        <f t="shared" ca="1" si="2"/>
        <v>21.106212726251858</v>
      </c>
    </row>
    <row r="17" spans="1:7" x14ac:dyDescent="0.35">
      <c r="A17" s="5">
        <v>26.853400000000001</v>
      </c>
      <c r="B17" s="5">
        <v>37.9</v>
      </c>
      <c r="C17" s="5" t="s">
        <v>31</v>
      </c>
      <c r="D17" s="5" t="s">
        <v>30</v>
      </c>
      <c r="E17" s="6">
        <f t="shared" ca="1" si="0"/>
        <v>116.84905851605384</v>
      </c>
      <c r="F17" s="6">
        <f t="shared" ca="1" si="1"/>
        <v>56.875052572770464</v>
      </c>
      <c r="G17" s="6">
        <f t="shared" ca="1" si="2"/>
        <v>26.907423929813877</v>
      </c>
    </row>
    <row r="18" spans="1:7" x14ac:dyDescent="0.35">
      <c r="A18" s="5">
        <v>21.477499999999999</v>
      </c>
      <c r="B18" s="5">
        <v>31.3</v>
      </c>
      <c r="C18" s="5" t="s">
        <v>31</v>
      </c>
      <c r="D18" s="5" t="s">
        <v>32</v>
      </c>
      <c r="E18" s="6">
        <f t="shared" ca="1" si="0"/>
        <v>94.632275935741632</v>
      </c>
      <c r="F18" s="6">
        <f t="shared" ca="1" si="1"/>
        <v>45.983153349462192</v>
      </c>
      <c r="G18" s="6">
        <f t="shared" ca="1" si="2"/>
        <v>14.376969767198135</v>
      </c>
    </row>
    <row r="19" spans="1:7" x14ac:dyDescent="0.35">
      <c r="A19" s="5">
        <v>29.755199999999999</v>
      </c>
      <c r="B19" s="5">
        <v>40.6</v>
      </c>
      <c r="C19" s="5" t="s">
        <v>31</v>
      </c>
      <c r="D19" s="5" t="s">
        <v>30</v>
      </c>
      <c r="E19" s="6">
        <f t="shared" ca="1" si="0"/>
        <v>128.98363564559946</v>
      </c>
      <c r="F19" s="6">
        <f t="shared" ca="1" si="1"/>
        <v>61.835546490820761</v>
      </c>
      <c r="G19" s="6">
        <f t="shared" ca="1" si="2"/>
        <v>29.888356046939752</v>
      </c>
    </row>
    <row r="20" spans="1:7" x14ac:dyDescent="0.35">
      <c r="A20" s="5">
        <v>23.9239</v>
      </c>
      <c r="B20" s="5">
        <v>36.299999999999997</v>
      </c>
      <c r="C20" s="5" t="s">
        <v>31</v>
      </c>
      <c r="D20" s="5" t="s">
        <v>30</v>
      </c>
      <c r="E20" s="6">
        <f t="shared" ca="1" si="0"/>
        <v>94.649757168961898</v>
      </c>
      <c r="F20" s="6">
        <f t="shared" ca="1" si="1"/>
        <v>49.420606277401006</v>
      </c>
      <c r="G20" s="6">
        <f t="shared" ca="1" si="2"/>
        <v>24.013197935997152</v>
      </c>
    </row>
    <row r="21" spans="1:7" x14ac:dyDescent="0.35">
      <c r="A21" s="5">
        <v>20.550799999999999</v>
      </c>
      <c r="B21" s="5">
        <v>29.8</v>
      </c>
      <c r="C21" s="5" t="s">
        <v>31</v>
      </c>
      <c r="D21" s="5" t="s">
        <v>32</v>
      </c>
      <c r="E21" s="6">
        <f t="shared" ca="1" si="0"/>
        <v>82.473903725714564</v>
      </c>
      <c r="F21" s="6">
        <f t="shared" ca="1" si="1"/>
        <v>41.935919034808094</v>
      </c>
      <c r="G21" s="6">
        <f t="shared" ca="1" si="2"/>
        <v>4.6317961828184862</v>
      </c>
    </row>
    <row r="22" spans="1:7" x14ac:dyDescent="0.35">
      <c r="A22" s="5">
        <v>21.673999999999999</v>
      </c>
      <c r="B22" s="5">
        <v>31.9</v>
      </c>
      <c r="C22" s="5" t="s">
        <v>31</v>
      </c>
      <c r="D22" s="5" t="s">
        <v>30</v>
      </c>
      <c r="E22" s="6">
        <f t="shared" ca="1" si="0"/>
        <v>95.108774249151708</v>
      </c>
      <c r="F22" s="6">
        <f t="shared" ca="1" si="1"/>
        <v>46.199631902576911</v>
      </c>
      <c r="G22" s="6">
        <f t="shared" ca="1" si="2"/>
        <v>21.916744998135314</v>
      </c>
    </row>
    <row r="23" spans="1:7" x14ac:dyDescent="0.35">
      <c r="A23" s="5">
        <v>19.270299999999999</v>
      </c>
      <c r="B23" s="5">
        <v>31.3</v>
      </c>
      <c r="C23" s="5" t="s">
        <v>31</v>
      </c>
      <c r="D23" s="5" t="s">
        <v>32</v>
      </c>
      <c r="E23" s="6">
        <f t="shared" ca="1" si="0"/>
        <v>83.028788546107492</v>
      </c>
      <c r="F23" s="6">
        <f t="shared" ca="1" si="1"/>
        <v>40.251152088470299</v>
      </c>
      <c r="G23" s="6">
        <f t="shared" ca="1" si="2"/>
        <v>15.388523448641161</v>
      </c>
    </row>
    <row r="24" spans="1:7" x14ac:dyDescent="0.35">
      <c r="A24" s="5">
        <v>18.178599999999999</v>
      </c>
      <c r="B24" s="5">
        <v>21.6</v>
      </c>
      <c r="C24" s="5" t="s">
        <v>29</v>
      </c>
      <c r="D24" s="5" t="s">
        <v>30</v>
      </c>
      <c r="E24" s="6">
        <f t="shared" ca="1" si="0"/>
        <v>87.796943839629506</v>
      </c>
      <c r="F24" s="6">
        <f t="shared" ca="1" si="1"/>
        <v>38.193067804978689</v>
      </c>
      <c r="G24" s="6">
        <f t="shared" ca="1" si="2"/>
        <v>18.715804293912722</v>
      </c>
    </row>
    <row r="25" spans="1:7" x14ac:dyDescent="0.35">
      <c r="A25" s="5">
        <v>18.459599999999998</v>
      </c>
      <c r="B25" s="5">
        <v>24.6</v>
      </c>
      <c r="C25" s="5" t="s">
        <v>31</v>
      </c>
      <c r="D25" s="5" t="s">
        <v>30</v>
      </c>
      <c r="E25" s="6">
        <f t="shared" ca="1" si="0"/>
        <v>71.054165597980102</v>
      </c>
      <c r="F25" s="6">
        <f t="shared" ca="1" si="1"/>
        <v>38.923677003354662</v>
      </c>
      <c r="G25" s="6">
        <f t="shared" ca="1" si="2"/>
        <v>19.309246016366295</v>
      </c>
    </row>
    <row r="26" spans="1:7" x14ac:dyDescent="0.35">
      <c r="A26" s="5">
        <v>17.0548</v>
      </c>
      <c r="B26" s="5">
        <v>20.100000000000001</v>
      </c>
      <c r="C26" s="5" t="s">
        <v>31</v>
      </c>
      <c r="D26" s="5" t="s">
        <v>30</v>
      </c>
      <c r="E26" s="6">
        <f t="shared" ca="1" si="0"/>
        <v>83.681250974377448</v>
      </c>
      <c r="F26" s="6">
        <f t="shared" ca="1" si="1"/>
        <v>34.81703900523469</v>
      </c>
      <c r="G26" s="6">
        <f t="shared" ca="1" si="2"/>
        <v>17.065692346007506</v>
      </c>
    </row>
    <row r="27" spans="1:7" x14ac:dyDescent="0.35">
      <c r="A27" s="5">
        <v>17.700900000000001</v>
      </c>
      <c r="B27" s="5">
        <v>24.6</v>
      </c>
      <c r="C27" s="5" t="s">
        <v>31</v>
      </c>
      <c r="D27" s="5" t="s">
        <v>30</v>
      </c>
      <c r="E27" s="6">
        <f t="shared" ca="1" si="0"/>
        <v>88.174880998037764</v>
      </c>
      <c r="F27" s="6">
        <f t="shared" ca="1" si="1"/>
        <v>37.409025782970993</v>
      </c>
      <c r="G27" s="6">
        <f t="shared" ca="1" si="2"/>
        <v>18.563603962578757</v>
      </c>
    </row>
    <row r="28" spans="1:7" x14ac:dyDescent="0.35">
      <c r="A28" s="5">
        <v>16.612300000000001</v>
      </c>
      <c r="B28" s="5">
        <v>18.100000000000001</v>
      </c>
      <c r="C28" s="5" t="s">
        <v>31</v>
      </c>
      <c r="D28" s="5" t="s">
        <v>32</v>
      </c>
      <c r="E28" s="6">
        <f t="shared" ca="1" si="0"/>
        <v>77.374190009845975</v>
      </c>
      <c r="F28" s="6">
        <f t="shared" ca="1" si="1"/>
        <v>34.995668709678668</v>
      </c>
      <c r="G28" s="6">
        <f t="shared" ca="1" si="2"/>
        <v>12.786236421034342</v>
      </c>
    </row>
    <row r="29" spans="1:7" x14ac:dyDescent="0.35">
      <c r="A29" s="5">
        <v>16.942</v>
      </c>
      <c r="B29" s="5">
        <v>22.9</v>
      </c>
      <c r="C29" s="5" t="s">
        <v>31</v>
      </c>
      <c r="D29" s="5" t="s">
        <v>30</v>
      </c>
      <c r="E29" s="6">
        <f t="shared" ca="1" si="0"/>
        <v>72.987565872503737</v>
      </c>
      <c r="F29" s="6">
        <f t="shared" ca="1" si="1"/>
        <v>35.102011278946584</v>
      </c>
      <c r="G29" s="6">
        <f t="shared" ca="1" si="2"/>
        <v>17.861465188333302</v>
      </c>
    </row>
    <row r="30" spans="1:7" x14ac:dyDescent="0.35">
      <c r="A30" s="5">
        <v>18.7744</v>
      </c>
      <c r="B30" s="5">
        <v>26.2</v>
      </c>
      <c r="C30" s="5" t="s">
        <v>31</v>
      </c>
      <c r="D30" s="5" t="s">
        <v>32</v>
      </c>
      <c r="E30" s="6">
        <f t="shared" ca="1" si="0"/>
        <v>85.730425184292955</v>
      </c>
      <c r="F30" s="6">
        <f t="shared" ca="1" si="1"/>
        <v>39.756768454534111</v>
      </c>
      <c r="G30" s="6">
        <f t="shared" ca="1" si="2"/>
        <v>10.736012181611148</v>
      </c>
    </row>
    <row r="31" spans="1:7" x14ac:dyDescent="0.35">
      <c r="A31" s="5">
        <v>18.386900000000001</v>
      </c>
      <c r="B31" s="5">
        <v>27.2</v>
      </c>
      <c r="C31" s="5" t="s">
        <v>31</v>
      </c>
      <c r="D31" s="5" t="s">
        <v>32</v>
      </c>
      <c r="E31" s="6">
        <f t="shared" ca="1" si="0"/>
        <v>66.124408580159297</v>
      </c>
      <c r="F31" s="6">
        <f t="shared" ca="1" si="1"/>
        <v>38.816307606863965</v>
      </c>
      <c r="G31" s="6">
        <f t="shared" ca="1" si="2"/>
        <v>8.1565184501855281</v>
      </c>
    </row>
    <row r="32" spans="1:7" x14ac:dyDescent="0.35">
      <c r="A32" s="5">
        <v>17.862500000000001</v>
      </c>
      <c r="B32" s="5">
        <v>17.7</v>
      </c>
      <c r="C32" s="5" t="s">
        <v>29</v>
      </c>
      <c r="D32" s="5" t="s">
        <v>32</v>
      </c>
      <c r="E32" s="6">
        <f t="shared" ca="1" si="0"/>
        <v>73.845060306902639</v>
      </c>
      <c r="F32" s="6">
        <f t="shared" ca="1" si="1"/>
        <v>35.769183459269044</v>
      </c>
      <c r="G32" s="6">
        <f t="shared" ca="1" si="2"/>
        <v>15.369687849409171</v>
      </c>
    </row>
    <row r="33" spans="1:7" x14ac:dyDescent="0.35">
      <c r="A33" s="5">
        <v>17.9756</v>
      </c>
      <c r="B33" s="5">
        <v>20.8</v>
      </c>
      <c r="C33" s="5" t="s">
        <v>31</v>
      </c>
      <c r="D33" s="5" t="s">
        <v>32</v>
      </c>
      <c r="E33" s="6">
        <f t="shared" ca="1" si="0"/>
        <v>77.26672359009055</v>
      </c>
      <c r="F33" s="6">
        <f t="shared" ca="1" si="1"/>
        <v>37.219665440873214</v>
      </c>
      <c r="G33" s="6">
        <f t="shared" ca="1" si="2"/>
        <v>9.8136122131265502</v>
      </c>
    </row>
    <row r="34" spans="1:7" x14ac:dyDescent="0.35">
      <c r="A34" s="5">
        <v>15.3674</v>
      </c>
      <c r="B34" s="5">
        <v>17.5</v>
      </c>
      <c r="C34" s="5" t="s">
        <v>31</v>
      </c>
      <c r="D34" s="5" t="s">
        <v>30</v>
      </c>
      <c r="E34" s="6">
        <f t="shared" ca="1" si="0"/>
        <v>71.432660416470995</v>
      </c>
      <c r="F34" s="6">
        <f t="shared" ca="1" si="1"/>
        <v>30.83222106510777</v>
      </c>
      <c r="G34" s="6">
        <f t="shared" ca="1" si="2"/>
        <v>15.700127966528491</v>
      </c>
    </row>
    <row r="35" spans="1:7" x14ac:dyDescent="0.35">
      <c r="A35" s="5">
        <v>18.8354</v>
      </c>
      <c r="B35" s="5">
        <v>21.3</v>
      </c>
      <c r="C35" s="5" t="s">
        <v>31</v>
      </c>
      <c r="D35" s="5" t="s">
        <v>30</v>
      </c>
      <c r="E35" s="6">
        <f t="shared" ca="1" si="0"/>
        <v>83.562760728299622</v>
      </c>
      <c r="F35" s="6">
        <f t="shared" ca="1" si="1"/>
        <v>37.762934024550837</v>
      </c>
      <c r="G35" s="6">
        <f t="shared" ca="1" si="2"/>
        <v>19.033682403924459</v>
      </c>
    </row>
    <row r="36" spans="1:7" x14ac:dyDescent="0.35">
      <c r="A36" s="5">
        <v>15.8201</v>
      </c>
      <c r="B36" s="5">
        <v>18.7</v>
      </c>
      <c r="C36" s="5" t="s">
        <v>31</v>
      </c>
      <c r="D36" s="5" t="s">
        <v>32</v>
      </c>
      <c r="E36" s="6">
        <f t="shared" ca="1" si="0"/>
        <v>66.365672777640313</v>
      </c>
      <c r="F36" s="6">
        <f t="shared" ca="1" si="1"/>
        <v>32.046173690870759</v>
      </c>
      <c r="G36" s="6">
        <f t="shared" ca="1" si="2"/>
        <v>13.464991612348371</v>
      </c>
    </row>
    <row r="37" spans="1:7" x14ac:dyDescent="0.35">
      <c r="A37" s="5">
        <v>17.712700000000002</v>
      </c>
      <c r="B37" s="5">
        <v>28.8</v>
      </c>
      <c r="C37" s="5" t="s">
        <v>31</v>
      </c>
      <c r="D37" s="5" t="s">
        <v>30</v>
      </c>
      <c r="E37" s="6">
        <f t="shared" ca="1" si="0"/>
        <v>73.717262659289531</v>
      </c>
      <c r="F37" s="6">
        <f t="shared" ca="1" si="1"/>
        <v>35.789532370820559</v>
      </c>
      <c r="G37" s="6">
        <f t="shared" ca="1" si="2"/>
        <v>18.54541367933049</v>
      </c>
    </row>
    <row r="38" spans="1:7" x14ac:dyDescent="0.35">
      <c r="A38" s="5">
        <v>14.9863</v>
      </c>
      <c r="B38" s="5">
        <v>17.100000000000001</v>
      </c>
      <c r="C38" s="5" t="s">
        <v>31</v>
      </c>
      <c r="D38" s="5" t="s">
        <v>32</v>
      </c>
      <c r="E38" s="6">
        <f t="shared" ca="1" si="0"/>
        <v>72.91891155485601</v>
      </c>
      <c r="F38" s="6">
        <f t="shared" ca="1" si="1"/>
        <v>30.576342588543909</v>
      </c>
      <c r="G38" s="6">
        <f t="shared" ca="1" si="2"/>
        <v>5.8316166262955473</v>
      </c>
    </row>
    <row r="39" spans="1:7" x14ac:dyDescent="0.35">
      <c r="A39" s="5">
        <v>16.7468</v>
      </c>
      <c r="B39" s="5">
        <v>26.2</v>
      </c>
      <c r="C39" s="5" t="s">
        <v>31</v>
      </c>
      <c r="D39" s="5" t="s">
        <v>30</v>
      </c>
      <c r="E39" s="6">
        <f t="shared" ca="1" si="0"/>
        <v>71.213817202258213</v>
      </c>
      <c r="F39" s="6">
        <f t="shared" ca="1" si="1"/>
        <v>34.053974733107417</v>
      </c>
      <c r="G39" s="6">
        <f t="shared" ca="1" si="2"/>
        <v>17.011653195709883</v>
      </c>
    </row>
    <row r="40" spans="1:7" x14ac:dyDescent="0.35">
      <c r="A40" s="5">
        <v>16.4636</v>
      </c>
      <c r="B40" s="5">
        <v>20.399999999999999</v>
      </c>
      <c r="C40" s="5" t="s">
        <v>31</v>
      </c>
      <c r="D40" s="5" t="s">
        <v>32</v>
      </c>
      <c r="E40" s="6">
        <f t="shared" ca="1" si="0"/>
        <v>79.036751313798092</v>
      </c>
      <c r="F40" s="6">
        <f t="shared" ca="1" si="1"/>
        <v>34.128881696383871</v>
      </c>
      <c r="G40" s="6">
        <f t="shared" ca="1" si="2"/>
        <v>16.388127713963463</v>
      </c>
    </row>
    <row r="41" spans="1:7" x14ac:dyDescent="0.35">
      <c r="A41" s="5">
        <v>15.871600000000001</v>
      </c>
      <c r="B41" s="5">
        <v>19.5</v>
      </c>
      <c r="C41" s="5" t="s">
        <v>29</v>
      </c>
      <c r="D41" s="5" t="s">
        <v>32</v>
      </c>
      <c r="E41" s="6">
        <f t="shared" ca="1" si="0"/>
        <v>64.615951428970675</v>
      </c>
      <c r="F41" s="6">
        <f t="shared" ca="1" si="1"/>
        <v>32.304921385984734</v>
      </c>
      <c r="G41" s="6">
        <f t="shared" ca="1" si="2"/>
        <v>3.6970361986683833</v>
      </c>
    </row>
    <row r="42" spans="1:7" x14ac:dyDescent="0.35">
      <c r="A42" s="5">
        <v>18.078800000000001</v>
      </c>
      <c r="B42" s="5">
        <v>21.7</v>
      </c>
      <c r="C42" s="5" t="s">
        <v>31</v>
      </c>
      <c r="D42" s="5" t="s">
        <v>30</v>
      </c>
      <c r="E42" s="6">
        <f t="shared" ca="1" si="0"/>
        <v>69.552438629265964</v>
      </c>
      <c r="F42" s="6">
        <f t="shared" ca="1" si="1"/>
        <v>37.485510468237749</v>
      </c>
      <c r="G42" s="6">
        <f t="shared" ca="1" si="2"/>
        <v>18.548395214189171</v>
      </c>
    </row>
    <row r="43" spans="1:7" x14ac:dyDescent="0.35">
      <c r="A43" s="5">
        <v>15.580500000000001</v>
      </c>
      <c r="B43" s="5">
        <v>18.100000000000001</v>
      </c>
      <c r="C43" s="5" t="s">
        <v>29</v>
      </c>
      <c r="D43" s="5" t="s">
        <v>32</v>
      </c>
      <c r="E43" s="6">
        <f t="shared" ca="1" si="0"/>
        <v>67.322653115646759</v>
      </c>
      <c r="F43" s="6">
        <f t="shared" ca="1" si="1"/>
        <v>31.608618618650354</v>
      </c>
      <c r="G43" s="6">
        <f t="shared" ca="1" si="2"/>
        <v>12.398439156414316</v>
      </c>
    </row>
    <row r="44" spans="1:7" x14ac:dyDescent="0.35">
      <c r="A44" s="5">
        <v>17.154299999999999</v>
      </c>
      <c r="B44" s="5">
        <v>29.8</v>
      </c>
      <c r="C44" s="5" t="s">
        <v>31</v>
      </c>
      <c r="D44" s="5" t="s">
        <v>32</v>
      </c>
      <c r="E44" s="6">
        <f t="shared" ca="1" si="0"/>
        <v>60.860334336219097</v>
      </c>
      <c r="F44" s="6">
        <f t="shared" ca="1" si="1"/>
        <v>35.99374640957668</v>
      </c>
      <c r="G44" s="6">
        <f t="shared" ca="1" si="2"/>
        <v>5.312611228761898E-2</v>
      </c>
    </row>
    <row r="45" spans="1:7" x14ac:dyDescent="0.35">
      <c r="A45" s="5">
        <v>15.818099999999999</v>
      </c>
      <c r="B45" s="5">
        <v>20.6</v>
      </c>
      <c r="C45" s="5" t="s">
        <v>31</v>
      </c>
      <c r="D45" s="5" t="s">
        <v>32</v>
      </c>
      <c r="E45" s="6">
        <f t="shared" ca="1" si="0"/>
        <v>76.04283878361511</v>
      </c>
      <c r="F45" s="6">
        <f t="shared" ca="1" si="1"/>
        <v>32.531378494593227</v>
      </c>
      <c r="G45" s="6">
        <f t="shared" ca="1" si="2"/>
        <v>7.9277902091737147</v>
      </c>
    </row>
    <row r="46" spans="1:7" x14ac:dyDescent="0.35">
      <c r="A46" s="5">
        <v>18.6112</v>
      </c>
      <c r="B46" s="5">
        <v>22.9</v>
      </c>
      <c r="C46" s="5" t="s">
        <v>31</v>
      </c>
      <c r="D46" s="5" t="s">
        <v>30</v>
      </c>
      <c r="E46" s="6">
        <f t="shared" ca="1" si="0"/>
        <v>82.966098241089711</v>
      </c>
      <c r="F46" s="6">
        <f t="shared" ca="1" si="1"/>
        <v>38.786306272671069</v>
      </c>
      <c r="G46" s="6">
        <f t="shared" ca="1" si="2"/>
        <v>19.3012240692413</v>
      </c>
    </row>
    <row r="47" spans="1:7" x14ac:dyDescent="0.35">
      <c r="A47" s="5">
        <v>16.662500000000001</v>
      </c>
      <c r="B47" s="5">
        <v>19.3</v>
      </c>
      <c r="C47" s="5" t="s">
        <v>29</v>
      </c>
      <c r="D47" s="5" t="s">
        <v>32</v>
      </c>
      <c r="E47" s="6">
        <f t="shared" ca="1" si="0"/>
        <v>68.560199990947936</v>
      </c>
      <c r="F47" s="6">
        <f t="shared" ca="1" si="1"/>
        <v>33.577223641929891</v>
      </c>
      <c r="G47" s="6">
        <f t="shared" ca="1" si="2"/>
        <v>5.5145866668226287</v>
      </c>
    </row>
    <row r="48" spans="1:7" x14ac:dyDescent="0.35">
      <c r="A48" s="5">
        <v>25.132000000000001</v>
      </c>
      <c r="B48" s="5">
        <v>38.4</v>
      </c>
      <c r="C48" s="5" t="s">
        <v>31</v>
      </c>
      <c r="D48" s="5" t="s">
        <v>32</v>
      </c>
      <c r="E48" s="6">
        <f t="shared" ca="1" si="0"/>
        <v>102.23240986147573</v>
      </c>
      <c r="F48" s="6">
        <f t="shared" ca="1" si="1"/>
        <v>51.697725149452715</v>
      </c>
      <c r="G48" s="6">
        <f t="shared" ca="1" si="2"/>
        <v>22.914581934745538</v>
      </c>
    </row>
    <row r="49" spans="1:7" x14ac:dyDescent="0.35">
      <c r="A49" s="5">
        <v>20.833400000000001</v>
      </c>
      <c r="B49" s="5">
        <v>27.9</v>
      </c>
      <c r="C49" s="5" t="s">
        <v>31</v>
      </c>
      <c r="D49" s="5" t="s">
        <v>30</v>
      </c>
      <c r="E49" s="6">
        <f t="shared" ca="1" si="0"/>
        <v>96.458513207016082</v>
      </c>
      <c r="F49" s="6">
        <f t="shared" ca="1" si="1"/>
        <v>42.544800740198333</v>
      </c>
      <c r="G49" s="6">
        <f t="shared" ca="1" si="2"/>
        <v>21.02613678237277</v>
      </c>
    </row>
    <row r="50" spans="1:7" x14ac:dyDescent="0.35">
      <c r="A50" s="5">
        <v>24.5595</v>
      </c>
      <c r="B50" s="5">
        <v>36.4</v>
      </c>
      <c r="C50" s="5" t="s">
        <v>31</v>
      </c>
      <c r="D50" s="5" t="s">
        <v>30</v>
      </c>
      <c r="E50" s="6">
        <f t="shared" ca="1" si="0"/>
        <v>113.79683912952767</v>
      </c>
      <c r="F50" s="6">
        <f t="shared" ca="1" si="1"/>
        <v>52.113137441318869</v>
      </c>
      <c r="G50" s="6">
        <f t="shared" ca="1" si="2"/>
        <v>25.338884802899507</v>
      </c>
    </row>
    <row r="51" spans="1:7" x14ac:dyDescent="0.35">
      <c r="A51" s="5">
        <v>20.193999999999999</v>
      </c>
      <c r="B51" s="5">
        <v>25.1</v>
      </c>
      <c r="C51" s="5" t="s">
        <v>31</v>
      </c>
      <c r="D51" s="5" t="s">
        <v>30</v>
      </c>
      <c r="E51" s="6">
        <f t="shared" ca="1" si="0"/>
        <v>99.499015436248555</v>
      </c>
      <c r="F51" s="6">
        <f t="shared" ca="1" si="1"/>
        <v>42.164326811843139</v>
      </c>
      <c r="G51" s="6">
        <f t="shared" ca="1" si="2"/>
        <v>20.641564257986108</v>
      </c>
    </row>
    <row r="52" spans="1:7" x14ac:dyDescent="0.35">
      <c r="A52" s="5">
        <v>24.130800000000001</v>
      </c>
      <c r="B52" s="5">
        <v>39.700000000000003</v>
      </c>
      <c r="C52" s="5" t="s">
        <v>31</v>
      </c>
      <c r="D52" s="5" t="s">
        <v>32</v>
      </c>
      <c r="E52" s="6">
        <f t="shared" ca="1" si="0"/>
        <v>104.80123391623893</v>
      </c>
      <c r="F52" s="6">
        <f t="shared" ca="1" si="1"/>
        <v>50.430385029783373</v>
      </c>
      <c r="G52" s="6">
        <f t="shared" ca="1" si="2"/>
        <v>11.573474120052145</v>
      </c>
    </row>
    <row r="53" spans="1:7" x14ac:dyDescent="0.35">
      <c r="A53" s="5">
        <v>23.864999999999998</v>
      </c>
      <c r="B53" s="5">
        <v>33.6</v>
      </c>
      <c r="C53" s="5" t="s">
        <v>31</v>
      </c>
      <c r="D53" s="5" t="s">
        <v>30</v>
      </c>
      <c r="E53" s="6">
        <f t="shared" ca="1" si="0"/>
        <v>108.2752664831429</v>
      </c>
      <c r="F53" s="6">
        <f t="shared" ca="1" si="1"/>
        <v>50.760000736710225</v>
      </c>
      <c r="G53" s="6">
        <f t="shared" ca="1" si="2"/>
        <v>24.522422009266187</v>
      </c>
    </row>
    <row r="54" spans="1:7" x14ac:dyDescent="0.35">
      <c r="A54" s="5">
        <v>33.565399999999997</v>
      </c>
      <c r="B54" s="5">
        <v>46</v>
      </c>
      <c r="C54" s="5" t="s">
        <v>33</v>
      </c>
      <c r="D54" s="5" t="s">
        <v>30</v>
      </c>
      <c r="E54" s="6">
        <f t="shared" ca="1" si="0"/>
        <v>124.29420652394879</v>
      </c>
      <c r="F54" s="6">
        <f t="shared" ca="1" si="1"/>
        <v>68.240677567117729</v>
      </c>
      <c r="G54" s="6">
        <f t="shared" ca="1" si="2"/>
        <v>33.763077464047008</v>
      </c>
    </row>
    <row r="55" spans="1:7" x14ac:dyDescent="0.35">
      <c r="A55" s="5">
        <v>29.145</v>
      </c>
      <c r="B55" s="5">
        <v>38.9</v>
      </c>
      <c r="C55" s="5" t="s">
        <v>33</v>
      </c>
      <c r="D55" s="5" t="s">
        <v>30</v>
      </c>
      <c r="E55" s="6">
        <f t="shared" ca="1" si="0"/>
        <v>139.67143200710316</v>
      </c>
      <c r="F55" s="6">
        <f t="shared" ca="1" si="1"/>
        <v>60.721416958695038</v>
      </c>
      <c r="G55" s="6">
        <f t="shared" ca="1" si="2"/>
        <v>29.904265359047006</v>
      </c>
    </row>
    <row r="56" spans="1:7" x14ac:dyDescent="0.35">
      <c r="A56" s="5">
        <v>28.591899999999999</v>
      </c>
      <c r="B56" s="5">
        <v>42.2</v>
      </c>
      <c r="C56" s="5" t="s">
        <v>33</v>
      </c>
      <c r="D56" s="5" t="s">
        <v>32</v>
      </c>
      <c r="E56" s="6">
        <f t="shared" ca="1" si="0"/>
        <v>108.04907103722877</v>
      </c>
      <c r="F56" s="6">
        <f t="shared" ca="1" si="1"/>
        <v>57.232646061166008</v>
      </c>
      <c r="G56" s="6">
        <f t="shared" ca="1" si="2"/>
        <v>7.9962336304504404</v>
      </c>
    </row>
    <row r="57" spans="1:7" x14ac:dyDescent="0.35">
      <c r="A57" s="5">
        <v>26.174900000000001</v>
      </c>
      <c r="B57" s="5">
        <v>36.700000000000003</v>
      </c>
      <c r="C57" s="5" t="s">
        <v>31</v>
      </c>
      <c r="D57" s="5" t="s">
        <v>30</v>
      </c>
      <c r="E57" s="6">
        <f t="shared" ca="1" si="0"/>
        <v>124.59599632433883</v>
      </c>
      <c r="F57" s="6">
        <f t="shared" ca="1" si="1"/>
        <v>55.793568883369261</v>
      </c>
      <c r="G57" s="6">
        <f t="shared" ca="1" si="2"/>
        <v>26.327812399965691</v>
      </c>
    </row>
    <row r="58" spans="1:7" x14ac:dyDescent="0.35">
      <c r="A58" s="5">
        <v>34.460999999999999</v>
      </c>
      <c r="B58" s="5">
        <v>38</v>
      </c>
      <c r="C58" s="5" t="s">
        <v>33</v>
      </c>
      <c r="D58" s="5" t="s">
        <v>30</v>
      </c>
      <c r="E58" s="6">
        <f t="shared" ca="1" si="0"/>
        <v>139.44345638196828</v>
      </c>
      <c r="F58" s="6">
        <f t="shared" ca="1" si="1"/>
        <v>71.911601679121034</v>
      </c>
      <c r="G58" s="6">
        <f t="shared" ca="1" si="2"/>
        <v>34.672524588746512</v>
      </c>
    </row>
    <row r="59" spans="1:7" x14ac:dyDescent="0.35">
      <c r="A59" s="5">
        <v>19.083600000000001</v>
      </c>
      <c r="B59" s="5">
        <v>23.3</v>
      </c>
      <c r="C59" s="5" t="s">
        <v>31</v>
      </c>
      <c r="D59" s="5" t="s">
        <v>30</v>
      </c>
      <c r="E59" s="6">
        <f t="shared" ca="1" si="0"/>
        <v>93.196760368439811</v>
      </c>
      <c r="F59" s="6">
        <f t="shared" ca="1" si="1"/>
        <v>38.703100116493097</v>
      </c>
      <c r="G59" s="6">
        <f t="shared" ca="1" si="2"/>
        <v>19.960126267794774</v>
      </c>
    </row>
    <row r="60" spans="1:7" x14ac:dyDescent="0.35">
      <c r="A60" s="5">
        <v>23.540299999999998</v>
      </c>
      <c r="B60" s="5">
        <v>35.9</v>
      </c>
      <c r="C60" s="5" t="s">
        <v>31</v>
      </c>
      <c r="D60" s="5" t="s">
        <v>32</v>
      </c>
      <c r="E60" s="6">
        <f t="shared" ca="1" si="0"/>
        <v>98.434457232675157</v>
      </c>
      <c r="F60" s="6">
        <f t="shared" ca="1" si="1"/>
        <v>47.339898335771096</v>
      </c>
      <c r="G60" s="6">
        <f t="shared" ca="1" si="2"/>
        <v>10.040521579809813</v>
      </c>
    </row>
    <row r="61" spans="1:7" x14ac:dyDescent="0.35">
      <c r="A61" s="5">
        <v>20.240600000000001</v>
      </c>
      <c r="B61" s="5">
        <v>24.1</v>
      </c>
      <c r="C61" s="5" t="s">
        <v>31</v>
      </c>
      <c r="D61" s="5" t="s">
        <v>30</v>
      </c>
      <c r="E61" s="6">
        <f t="shared" ca="1" si="0"/>
        <v>85.13573338933125</v>
      </c>
      <c r="F61" s="6">
        <f t="shared" ca="1" si="1"/>
        <v>41.535578709767279</v>
      </c>
      <c r="G61" s="6">
        <f t="shared" ca="1" si="2"/>
        <v>20.757797791440751</v>
      </c>
    </row>
    <row r="62" spans="1:7" x14ac:dyDescent="0.35">
      <c r="A62" s="5">
        <v>29.17</v>
      </c>
      <c r="B62" s="5">
        <v>40.799999999999997</v>
      </c>
      <c r="C62" s="5" t="s">
        <v>31</v>
      </c>
      <c r="D62" s="5" t="s">
        <v>30</v>
      </c>
      <c r="E62" s="6">
        <f t="shared" ca="1" si="0"/>
        <v>105.65253969745498</v>
      </c>
      <c r="F62" s="6">
        <f t="shared" ca="1" si="1"/>
        <v>60.289174873472071</v>
      </c>
      <c r="G62" s="6">
        <f t="shared" ca="1" si="2"/>
        <v>30.164998890075232</v>
      </c>
    </row>
    <row r="63" spans="1:7" x14ac:dyDescent="0.35">
      <c r="A63" s="5">
        <v>20.8476</v>
      </c>
      <c r="B63" s="5">
        <v>25.7</v>
      </c>
      <c r="C63" s="5" t="s">
        <v>31</v>
      </c>
      <c r="D63" s="5" t="s">
        <v>32</v>
      </c>
      <c r="E63" s="6">
        <f t="shared" ca="1" si="0"/>
        <v>82.186733599178396</v>
      </c>
      <c r="F63" s="6">
        <f t="shared" ca="1" si="1"/>
        <v>42.867263594254467</v>
      </c>
      <c r="G63" s="6">
        <f t="shared" ca="1" si="2"/>
        <v>16.592498118492404</v>
      </c>
    </row>
    <row r="64" spans="1:7" x14ac:dyDescent="0.35">
      <c r="A64" s="5">
        <v>22.661200000000001</v>
      </c>
      <c r="B64" s="5">
        <v>37.6</v>
      </c>
      <c r="C64" s="5" t="s">
        <v>31</v>
      </c>
      <c r="D64" s="5" t="s">
        <v>30</v>
      </c>
      <c r="E64" s="6">
        <f t="shared" ca="1" si="0"/>
        <v>76.822491134968772</v>
      </c>
      <c r="F64" s="6">
        <f t="shared" ca="1" si="1"/>
        <v>48.564851414117399</v>
      </c>
      <c r="G64" s="6">
        <f t="shared" ca="1" si="2"/>
        <v>23.335143073922321</v>
      </c>
    </row>
    <row r="65" spans="1:7" x14ac:dyDescent="0.35">
      <c r="A65" s="5">
        <v>30.078099999999999</v>
      </c>
      <c r="B65" s="5">
        <v>35.9</v>
      </c>
      <c r="C65" s="5" t="s">
        <v>31</v>
      </c>
      <c r="D65" s="5" t="s">
        <v>30</v>
      </c>
      <c r="E65" s="6">
        <f t="shared" ca="1" si="0"/>
        <v>126.5900360629515</v>
      </c>
      <c r="F65" s="6">
        <f t="shared" ca="1" si="1"/>
        <v>63.0710416040111</v>
      </c>
      <c r="G65" s="6">
        <f t="shared" ca="1" si="2"/>
        <v>30.525564747890812</v>
      </c>
    </row>
    <row r="66" spans="1:7" x14ac:dyDescent="0.35">
      <c r="A66" s="5">
        <v>22.612100000000002</v>
      </c>
      <c r="B66" s="5">
        <v>36.299999999999997</v>
      </c>
      <c r="C66" s="5" t="s">
        <v>31</v>
      </c>
      <c r="D66" s="5" t="s">
        <v>32</v>
      </c>
      <c r="E66" s="6">
        <f t="shared" ca="1" si="0"/>
        <v>98.223766281405318</v>
      </c>
      <c r="F66" s="6">
        <f t="shared" ca="1" si="1"/>
        <v>47.955690275236442</v>
      </c>
      <c r="G66" s="6">
        <f t="shared" ca="1" si="2"/>
        <v>16.147649129954537</v>
      </c>
    </row>
    <row r="67" spans="1:7" x14ac:dyDescent="0.35">
      <c r="A67" s="5">
        <v>24.298100000000002</v>
      </c>
      <c r="B67" s="5">
        <v>33</v>
      </c>
      <c r="C67" s="5" t="s">
        <v>31</v>
      </c>
      <c r="D67" s="5" t="s">
        <v>30</v>
      </c>
      <c r="E67" s="6">
        <f t="shared" ref="E67:E93" ca="1" si="3">5*A67-RAND()*B67</f>
        <v>116.33966070139419</v>
      </c>
      <c r="F67" s="6">
        <f t="shared" ref="F67:F93" ca="1" si="4">2*A67+RAND()*B67/10</f>
        <v>50.969856256828905</v>
      </c>
      <c r="G67" s="6">
        <f t="shared" ref="G67:G93" ca="1" si="5">IF(D67="Yes",1*A67+RAND(),A67*RAND())</f>
        <v>25.240617257744951</v>
      </c>
    </row>
    <row r="68" spans="1:7" x14ac:dyDescent="0.35">
      <c r="A68" s="5">
        <v>31.3277</v>
      </c>
      <c r="B68" s="5">
        <v>40.5</v>
      </c>
      <c r="C68" s="5" t="s">
        <v>31</v>
      </c>
      <c r="D68" s="5" t="s">
        <v>32</v>
      </c>
      <c r="E68" s="6">
        <f t="shared" ca="1" si="3"/>
        <v>137.7913974658552</v>
      </c>
      <c r="F68" s="6">
        <f t="shared" ca="1" si="4"/>
        <v>66.539934721589731</v>
      </c>
      <c r="G68" s="6">
        <f t="shared" ca="1" si="5"/>
        <v>4.1017608463771351</v>
      </c>
    </row>
    <row r="69" spans="1:7" x14ac:dyDescent="0.35">
      <c r="A69" s="5">
        <v>24.142900000000001</v>
      </c>
      <c r="B69" s="5">
        <v>26.4</v>
      </c>
      <c r="C69" s="5" t="s">
        <v>31</v>
      </c>
      <c r="D69" s="5" t="s">
        <v>30</v>
      </c>
      <c r="E69" s="6">
        <f t="shared" ca="1" si="3"/>
        <v>116.64162362574817</v>
      </c>
      <c r="F69" s="6">
        <f t="shared" ca="1" si="4"/>
        <v>48.530797522290825</v>
      </c>
      <c r="G69" s="6">
        <f t="shared" ca="1" si="5"/>
        <v>24.534123586535706</v>
      </c>
    </row>
    <row r="70" spans="1:7" x14ac:dyDescent="0.35">
      <c r="A70" s="5">
        <v>23.498100000000001</v>
      </c>
      <c r="B70" s="5">
        <v>27.3</v>
      </c>
      <c r="C70" s="5" t="s">
        <v>31</v>
      </c>
      <c r="D70" s="5" t="s">
        <v>32</v>
      </c>
      <c r="E70" s="6">
        <f t="shared" ca="1" si="3"/>
        <v>115.75693425194042</v>
      </c>
      <c r="F70" s="6">
        <f t="shared" ca="1" si="4"/>
        <v>47.493573289695853</v>
      </c>
      <c r="G70" s="6">
        <f t="shared" ca="1" si="5"/>
        <v>10.187631918071752</v>
      </c>
    </row>
    <row r="71" spans="1:7" x14ac:dyDescent="0.35">
      <c r="A71" s="5">
        <v>24.779699999999998</v>
      </c>
      <c r="B71" s="5">
        <v>32.200000000000003</v>
      </c>
      <c r="C71" s="5" t="s">
        <v>31</v>
      </c>
      <c r="D71" s="5" t="s">
        <v>30</v>
      </c>
      <c r="E71" s="6">
        <f t="shared" ca="1" si="3"/>
        <v>103.32156927817815</v>
      </c>
      <c r="F71" s="6">
        <f t="shared" ca="1" si="4"/>
        <v>51.997082534482423</v>
      </c>
      <c r="G71" s="6">
        <f t="shared" ca="1" si="5"/>
        <v>25.30659701540133</v>
      </c>
    </row>
    <row r="72" spans="1:7" x14ac:dyDescent="0.35">
      <c r="A72" s="5">
        <v>19.461500000000001</v>
      </c>
      <c r="B72" s="5">
        <v>19.600000000000001</v>
      </c>
      <c r="C72" s="5" t="s">
        <v>31</v>
      </c>
      <c r="D72" s="5" t="s">
        <v>30</v>
      </c>
      <c r="E72" s="6">
        <f t="shared" ca="1" si="3"/>
        <v>88.472103184123526</v>
      </c>
      <c r="F72" s="6">
        <f t="shared" ca="1" si="4"/>
        <v>39.781973816617445</v>
      </c>
      <c r="G72" s="6">
        <f t="shared" ca="1" si="5"/>
        <v>20.103657578230195</v>
      </c>
    </row>
    <row r="73" spans="1:7" x14ac:dyDescent="0.35">
      <c r="A73" s="5">
        <v>19.018799999999999</v>
      </c>
      <c r="B73" s="5">
        <v>24.5</v>
      </c>
      <c r="C73" s="5" t="s">
        <v>31</v>
      </c>
      <c r="D73" s="5" t="s">
        <v>30</v>
      </c>
      <c r="E73" s="6">
        <f t="shared" ca="1" si="3"/>
        <v>78.084261483565228</v>
      </c>
      <c r="F73" s="6">
        <f t="shared" ca="1" si="4"/>
        <v>38.611615778946266</v>
      </c>
      <c r="G73" s="6">
        <f t="shared" ca="1" si="5"/>
        <v>19.367302490187328</v>
      </c>
    </row>
    <row r="74" spans="1:7" x14ac:dyDescent="0.35">
      <c r="A74" s="5">
        <v>20.197299999999998</v>
      </c>
      <c r="B74" s="5">
        <v>22.6</v>
      </c>
      <c r="C74" s="5" t="s">
        <v>31</v>
      </c>
      <c r="D74" s="5" t="s">
        <v>32</v>
      </c>
      <c r="E74" s="6">
        <f t="shared" ca="1" si="3"/>
        <v>85.969218891675197</v>
      </c>
      <c r="F74" s="6">
        <f t="shared" ca="1" si="4"/>
        <v>42.236305867349152</v>
      </c>
      <c r="G74" s="6">
        <f t="shared" ca="1" si="5"/>
        <v>4.2723083533324537</v>
      </c>
    </row>
    <row r="75" spans="1:7" x14ac:dyDescent="0.35">
      <c r="A75" s="5">
        <v>20.689399999999999</v>
      </c>
      <c r="B75" s="5">
        <v>30.2</v>
      </c>
      <c r="C75" s="5" t="s">
        <v>31</v>
      </c>
      <c r="D75" s="5" t="s">
        <v>30</v>
      </c>
      <c r="E75" s="6">
        <f t="shared" ca="1" si="3"/>
        <v>103.28342595611267</v>
      </c>
      <c r="F75" s="6">
        <f t="shared" ca="1" si="4"/>
        <v>41.725872286035234</v>
      </c>
      <c r="G75" s="6">
        <f t="shared" ca="1" si="5"/>
        <v>21.457532576387543</v>
      </c>
    </row>
    <row r="76" spans="1:7" x14ac:dyDescent="0.35">
      <c r="A76" s="5">
        <v>19.168500000000002</v>
      </c>
      <c r="B76" s="5">
        <v>26.9</v>
      </c>
      <c r="C76" s="5" t="s">
        <v>31</v>
      </c>
      <c r="D76" s="5" t="s">
        <v>30</v>
      </c>
      <c r="E76" s="6">
        <f t="shared" ca="1" si="3"/>
        <v>88.908222811071084</v>
      </c>
      <c r="F76" s="6">
        <f t="shared" ca="1" si="4"/>
        <v>40.227141253152787</v>
      </c>
      <c r="G76" s="6">
        <f t="shared" ca="1" si="5"/>
        <v>19.76450057189539</v>
      </c>
    </row>
    <row r="77" spans="1:7" x14ac:dyDescent="0.35">
      <c r="A77" s="5">
        <v>20.728200000000001</v>
      </c>
      <c r="B77" s="5">
        <v>30.2</v>
      </c>
      <c r="C77" s="5" t="s">
        <v>31</v>
      </c>
      <c r="D77" s="5" t="s">
        <v>30</v>
      </c>
      <c r="E77" s="6">
        <f t="shared" ca="1" si="3"/>
        <v>78.925658413214805</v>
      </c>
      <c r="F77" s="6">
        <f t="shared" ca="1" si="4"/>
        <v>42.99073547417531</v>
      </c>
      <c r="G77" s="6">
        <f t="shared" ca="1" si="5"/>
        <v>20.734920056008747</v>
      </c>
    </row>
    <row r="78" spans="1:7" x14ac:dyDescent="0.35">
      <c r="A78" s="5">
        <v>16.143799999999999</v>
      </c>
      <c r="B78" s="5">
        <v>21</v>
      </c>
      <c r="C78" s="5" t="s">
        <v>33</v>
      </c>
      <c r="D78" s="5" t="s">
        <v>32</v>
      </c>
      <c r="E78" s="6">
        <f t="shared" ca="1" si="3"/>
        <v>80.533234047249465</v>
      </c>
      <c r="F78" s="6">
        <f t="shared" ca="1" si="4"/>
        <v>32.809946310644179</v>
      </c>
      <c r="G78" s="6">
        <f t="shared" ca="1" si="5"/>
        <v>2.904299850696237</v>
      </c>
    </row>
    <row r="79" spans="1:7" x14ac:dyDescent="0.35">
      <c r="A79" s="5">
        <v>17.711300000000001</v>
      </c>
      <c r="B79" s="5">
        <v>19.399999999999999</v>
      </c>
      <c r="C79" s="5" t="s">
        <v>31</v>
      </c>
      <c r="D79" s="5" t="s">
        <v>30</v>
      </c>
      <c r="E79" s="6">
        <f t="shared" ca="1" si="3"/>
        <v>70.768002343683463</v>
      </c>
      <c r="F79" s="6">
        <f t="shared" ca="1" si="4"/>
        <v>36.064783848635443</v>
      </c>
      <c r="G79" s="6">
        <f t="shared" ca="1" si="5"/>
        <v>18.014123106932495</v>
      </c>
    </row>
    <row r="80" spans="1:7" x14ac:dyDescent="0.35">
      <c r="A80" s="5">
        <v>16.0929</v>
      </c>
      <c r="B80" s="5">
        <v>21.1</v>
      </c>
      <c r="C80" s="5" t="s">
        <v>31</v>
      </c>
      <c r="D80" s="5" t="s">
        <v>30</v>
      </c>
      <c r="E80" s="6">
        <f t="shared" ca="1" si="3"/>
        <v>78.661391492599407</v>
      </c>
      <c r="F80" s="6">
        <f t="shared" ca="1" si="4"/>
        <v>32.312723118276168</v>
      </c>
      <c r="G80" s="6">
        <f t="shared" ca="1" si="5"/>
        <v>16.219365158669515</v>
      </c>
    </row>
    <row r="81" spans="1:7" x14ac:dyDescent="0.35">
      <c r="A81" s="5">
        <v>16.7395</v>
      </c>
      <c r="B81" s="5">
        <v>17.3</v>
      </c>
      <c r="C81" s="5" t="s">
        <v>31</v>
      </c>
      <c r="D81" s="5" t="s">
        <v>30</v>
      </c>
      <c r="E81" s="6">
        <f t="shared" ca="1" si="3"/>
        <v>69.907207111406194</v>
      </c>
      <c r="F81" s="6">
        <f t="shared" ca="1" si="4"/>
        <v>34.606259741682095</v>
      </c>
      <c r="G81" s="6">
        <f t="shared" ca="1" si="5"/>
        <v>16.986447413275855</v>
      </c>
    </row>
    <row r="82" spans="1:7" x14ac:dyDescent="0.35">
      <c r="A82" s="5">
        <v>18.925699999999999</v>
      </c>
      <c r="B82" s="5">
        <v>20.5</v>
      </c>
      <c r="C82" s="5" t="s">
        <v>31</v>
      </c>
      <c r="D82" s="5" t="s">
        <v>30</v>
      </c>
      <c r="E82" s="6">
        <f t="shared" ca="1" si="3"/>
        <v>77.013603375187287</v>
      </c>
      <c r="F82" s="6">
        <f t="shared" ca="1" si="4"/>
        <v>38.019223850440028</v>
      </c>
      <c r="G82" s="6">
        <f t="shared" ca="1" si="5"/>
        <v>19.333189825459581</v>
      </c>
    </row>
    <row r="83" spans="1:7" x14ac:dyDescent="0.35">
      <c r="A83" s="5">
        <v>17.224499999999999</v>
      </c>
      <c r="B83" s="5">
        <v>19.3</v>
      </c>
      <c r="C83" s="5" t="s">
        <v>31</v>
      </c>
      <c r="D83" s="5" t="s">
        <v>30</v>
      </c>
      <c r="E83" s="6">
        <f t="shared" ca="1" si="3"/>
        <v>69.150130959791284</v>
      </c>
      <c r="F83" s="6">
        <f t="shared" ca="1" si="4"/>
        <v>35.719312068953002</v>
      </c>
      <c r="G83" s="6">
        <f t="shared" ca="1" si="5"/>
        <v>17.389785518858204</v>
      </c>
    </row>
    <row r="84" spans="1:7" x14ac:dyDescent="0.35">
      <c r="A84" s="5">
        <v>18.383800000000001</v>
      </c>
      <c r="B84" s="5">
        <v>28.7</v>
      </c>
      <c r="C84" s="5" t="s">
        <v>31</v>
      </c>
      <c r="D84" s="5" t="s">
        <v>30</v>
      </c>
      <c r="E84" s="6">
        <f t="shared" ca="1" si="3"/>
        <v>80.545333647815426</v>
      </c>
      <c r="F84" s="6">
        <f t="shared" ca="1" si="4"/>
        <v>38.249589816123795</v>
      </c>
      <c r="G84" s="6">
        <f t="shared" ca="1" si="5"/>
        <v>19.24747093283522</v>
      </c>
    </row>
    <row r="85" spans="1:7" x14ac:dyDescent="0.35">
      <c r="A85" s="5">
        <v>18.1828</v>
      </c>
      <c r="B85" s="5">
        <v>18.3</v>
      </c>
      <c r="C85" s="5" t="s">
        <v>31</v>
      </c>
      <c r="D85" s="5" t="s">
        <v>30</v>
      </c>
      <c r="E85" s="6">
        <f t="shared" ca="1" si="3"/>
        <v>76.071500460897397</v>
      </c>
      <c r="F85" s="6">
        <f t="shared" ca="1" si="4"/>
        <v>37.13285866762665</v>
      </c>
      <c r="G85" s="6">
        <f t="shared" ca="1" si="5"/>
        <v>18.930417581435023</v>
      </c>
    </row>
    <row r="86" spans="1:7" x14ac:dyDescent="0.35">
      <c r="A86" s="5">
        <v>17.075700000000001</v>
      </c>
      <c r="B86" s="5">
        <v>15.6</v>
      </c>
      <c r="C86" s="5" t="s">
        <v>31</v>
      </c>
      <c r="D86" s="5" t="s">
        <v>30</v>
      </c>
      <c r="E86" s="6">
        <f t="shared" ca="1" si="3"/>
        <v>84.178097844263945</v>
      </c>
      <c r="F86" s="6">
        <f t="shared" ca="1" si="4"/>
        <v>35.026657996459221</v>
      </c>
      <c r="G86" s="6">
        <f t="shared" ca="1" si="5"/>
        <v>17.450314633111219</v>
      </c>
    </row>
    <row r="87" spans="1:7" x14ac:dyDescent="0.35">
      <c r="A87" s="5">
        <v>17.6386</v>
      </c>
      <c r="B87" s="5">
        <v>23.9</v>
      </c>
      <c r="C87" s="5" t="s">
        <v>31</v>
      </c>
      <c r="D87" s="5" t="s">
        <v>30</v>
      </c>
      <c r="E87" s="6">
        <f t="shared" ca="1" si="3"/>
        <v>72.969676935801715</v>
      </c>
      <c r="F87" s="6">
        <f t="shared" ca="1" si="4"/>
        <v>35.626214252250918</v>
      </c>
      <c r="G87" s="6">
        <f t="shared" ca="1" si="5"/>
        <v>18.518771743493556</v>
      </c>
    </row>
    <row r="88" spans="1:7" x14ac:dyDescent="0.35">
      <c r="A88" s="5">
        <v>18.6891</v>
      </c>
      <c r="B88" s="5">
        <v>24.5</v>
      </c>
      <c r="C88" s="5" t="s">
        <v>31</v>
      </c>
      <c r="D88" s="5" t="s">
        <v>30</v>
      </c>
      <c r="E88" s="6">
        <f t="shared" ca="1" si="3"/>
        <v>87.307658139506202</v>
      </c>
      <c r="F88" s="6">
        <f t="shared" ca="1" si="4"/>
        <v>39.180922580089991</v>
      </c>
      <c r="G88" s="6">
        <f t="shared" ca="1" si="5"/>
        <v>18.958104246786643</v>
      </c>
    </row>
    <row r="89" spans="1:7" x14ac:dyDescent="0.35">
      <c r="A89" s="5">
        <v>17.517900000000001</v>
      </c>
      <c r="B89" s="5">
        <v>23.3</v>
      </c>
      <c r="C89" s="5" t="s">
        <v>31</v>
      </c>
      <c r="D89" s="5" t="s">
        <v>32</v>
      </c>
      <c r="E89" s="6">
        <f t="shared" ca="1" si="3"/>
        <v>83.152710462370862</v>
      </c>
      <c r="F89" s="6">
        <f t="shared" ca="1" si="4"/>
        <v>35.166423836166892</v>
      </c>
      <c r="G89" s="6">
        <f t="shared" ca="1" si="5"/>
        <v>10.947277526371122</v>
      </c>
    </row>
    <row r="90" spans="1:7" x14ac:dyDescent="0.35">
      <c r="A90" s="5">
        <v>16.119800000000001</v>
      </c>
      <c r="B90" s="5">
        <v>20.100000000000001</v>
      </c>
      <c r="C90" s="5" t="s">
        <v>31</v>
      </c>
      <c r="D90" s="5" t="s">
        <v>32</v>
      </c>
      <c r="E90" s="6">
        <f t="shared" ca="1" si="3"/>
        <v>69.249798299087601</v>
      </c>
      <c r="F90" s="6">
        <f t="shared" ca="1" si="4"/>
        <v>33.173604177069201</v>
      </c>
      <c r="G90" s="6">
        <f t="shared" ca="1" si="5"/>
        <v>3.5543249737955538</v>
      </c>
    </row>
    <row r="91" spans="1:7" x14ac:dyDescent="0.35">
      <c r="A91" s="5">
        <v>18.8322</v>
      </c>
      <c r="B91" s="5">
        <v>30.3</v>
      </c>
      <c r="C91" s="5" t="s">
        <v>33</v>
      </c>
      <c r="D91" s="5" t="s">
        <v>32</v>
      </c>
      <c r="E91" s="6">
        <f t="shared" ca="1" si="3"/>
        <v>83.311860244525406</v>
      </c>
      <c r="F91" s="6">
        <f t="shared" ca="1" si="4"/>
        <v>38.788919676005413</v>
      </c>
      <c r="G91" s="6">
        <f t="shared" ca="1" si="5"/>
        <v>3.1528369172911401</v>
      </c>
    </row>
    <row r="92" spans="1:7" x14ac:dyDescent="0.35">
      <c r="A92" s="5">
        <v>15.4559</v>
      </c>
      <c r="B92" s="5">
        <v>20.6</v>
      </c>
      <c r="C92" s="5" t="s">
        <v>31</v>
      </c>
      <c r="D92" s="5" t="s">
        <v>32</v>
      </c>
      <c r="E92" s="6">
        <f t="shared" ca="1" si="3"/>
        <v>76.340095778904967</v>
      </c>
      <c r="F92" s="6">
        <f t="shared" ca="1" si="4"/>
        <v>31.132445981422631</v>
      </c>
      <c r="G92" s="6">
        <f t="shared" ca="1" si="5"/>
        <v>4.313158647155273</v>
      </c>
    </row>
    <row r="93" spans="1:7" x14ac:dyDescent="0.35">
      <c r="A93" s="5">
        <v>18.393599999999999</v>
      </c>
      <c r="B93" s="5">
        <v>26</v>
      </c>
      <c r="C93" s="5" t="s">
        <v>31</v>
      </c>
      <c r="D93" s="5" t="s">
        <v>32</v>
      </c>
      <c r="E93" s="6">
        <f t="shared" ca="1" si="3"/>
        <v>85.269964211404911</v>
      </c>
      <c r="F93" s="6">
        <f t="shared" ca="1" si="4"/>
        <v>39.154121880202446</v>
      </c>
      <c r="G93" s="6">
        <f t="shared" ca="1" si="5"/>
        <v>5.0424002924832587</v>
      </c>
    </row>
    <row r="94" spans="1:7" x14ac:dyDescent="0.35">
      <c r="A94" s="5"/>
      <c r="B94" s="5"/>
      <c r="C94" s="5"/>
      <c r="D94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conductivity</vt:lpstr>
      <vt:lpstr>cat_univar</vt:lpstr>
      <vt:lpstr>Corr_Assoc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RAHIMI Mhamed Hicham</dc:creator>
  <dc:description/>
  <cp:lastModifiedBy>M'hamed Hicham RAHIMI</cp:lastModifiedBy>
  <cp:revision>1</cp:revision>
  <dcterms:created xsi:type="dcterms:W3CDTF">2015-06-05T18:19:34Z</dcterms:created>
  <dcterms:modified xsi:type="dcterms:W3CDTF">2026-08-14T11:58:22Z</dcterms:modified>
  <dc:language>en-US</dc:language>
</cp:coreProperties>
</file>